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ya\OneDrive\Рабочий стол\"/>
    </mc:Choice>
  </mc:AlternateContent>
  <xr:revisionPtr revIDLastSave="0" documentId="8_{E0973695-3868-4DC6-AB8F-5F9A57E26F61}" xr6:coauthVersionLast="47" xr6:coauthVersionMax="47" xr10:uidLastSave="{00000000-0000-0000-0000-000000000000}"/>
  <bookViews>
    <workbookView xWindow="-110" yWindow="-110" windowWidth="19420" windowHeight="10300" firstSheet="10" activeTab="10" xr2:uid="{00000000-000D-0000-FFFF-FFFF00000000}"/>
  </bookViews>
  <sheets>
    <sheet name="Вариант 1" sheetId="1" r:id="rId1"/>
    <sheet name="Вариант 2" sheetId="2" r:id="rId2"/>
    <sheet name="Вариант 3" sheetId="3" r:id="rId3"/>
    <sheet name="Вариант 4" sheetId="4" r:id="rId4"/>
    <sheet name="Вариант 5" sheetId="5" r:id="rId5"/>
    <sheet name="Вариант 6" sheetId="6" r:id="rId6"/>
    <sheet name="Вариант 7" sheetId="7" r:id="rId7"/>
    <sheet name="Вариант 8" sheetId="8" r:id="rId8"/>
    <sheet name="Вариант 9" sheetId="9" r:id="rId9"/>
    <sheet name="Вариант 10" sheetId="10" r:id="rId10"/>
    <sheet name="Вариант 11" sheetId="11" r:id="rId11"/>
    <sheet name="Вариант 12" sheetId="12" r:id="rId12"/>
    <sheet name="Вариант 13" sheetId="13" r:id="rId13"/>
    <sheet name="Вариант 14" sheetId="14" r:id="rId14"/>
    <sheet name="Вариант 15" sheetId="15" r:id="rId15"/>
    <sheet name="Вариант  16" sheetId="16" r:id="rId16"/>
    <sheet name="Вариант 17" sheetId="17" r:id="rId17"/>
    <sheet name="Вариант 18" sheetId="18" r:id="rId18"/>
    <sheet name="Вариант 19" sheetId="19" r:id="rId19"/>
    <sheet name="Вариант 20" sheetId="20" r:id="rId20"/>
    <sheet name="Вариант 21" sheetId="21" r:id="rId21"/>
    <sheet name="Вариант 22" sheetId="22" r:id="rId22"/>
    <sheet name="Вариант 23" sheetId="23" r:id="rId23"/>
    <sheet name="Вариант 24" sheetId="24" r:id="rId24"/>
    <sheet name="Вариант 25" sheetId="25" r:id="rId25"/>
    <sheet name="Вариант 26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11" l="1" a="1"/>
  <c r="N26" i="11" s="1"/>
  <c r="H26" i="11" a="1"/>
  <c r="H26" i="11" s="1"/>
  <c r="M26" i="11"/>
  <c r="L26" i="11" a="1"/>
  <c r="L26" i="11" s="1"/>
  <c r="K26" i="11"/>
  <c r="J26" i="11" a="1"/>
  <c r="J26" i="11" s="1"/>
  <c r="I26" i="11" a="1"/>
  <c r="I26" i="11" s="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2" i="11"/>
  <c r="G26" i="11"/>
  <c r="F26" i="11"/>
  <c r="D18" i="11"/>
  <c r="D17" i="11"/>
  <c r="L18" i="11"/>
  <c r="K18" i="11"/>
  <c r="L17" i="11"/>
  <c r="K17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2" i="11"/>
  <c r="N22" i="11" a="1"/>
  <c r="N22" i="11" s="1"/>
  <c r="M22" i="11"/>
  <c r="L22" i="11" a="1"/>
  <c r="L22" i="11"/>
  <c r="K22" i="11"/>
  <c r="J22" i="11" a="1"/>
  <c r="J22" i="11" s="1"/>
  <c r="I22" i="11" a="1"/>
  <c r="I22" i="11" s="1"/>
  <c r="I2" i="11"/>
  <c r="H22" i="11" a="1"/>
  <c r="H22" i="11" s="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G22" i="11"/>
  <c r="F18" i="11"/>
  <c r="F22" i="11" l="1"/>
  <c r="H18" i="11"/>
  <c r="G18" i="11"/>
  <c r="C18" i="11"/>
  <c r="B18" i="11"/>
  <c r="H17" i="11"/>
  <c r="G17" i="11"/>
  <c r="F17" i="11"/>
  <c r="C17" i="11"/>
  <c r="B17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2" i="11"/>
  <c r="B3" i="26"/>
  <c r="C3" i="26"/>
  <c r="D3" i="26"/>
  <c r="B4" i="26"/>
  <c r="C4" i="26"/>
  <c r="D4" i="26"/>
  <c r="B5" i="26"/>
  <c r="C5" i="26"/>
  <c r="D5" i="26"/>
  <c r="B6" i="26"/>
  <c r="C6" i="26"/>
  <c r="D6" i="26"/>
  <c r="B7" i="26"/>
  <c r="C7" i="26"/>
  <c r="D7" i="26"/>
  <c r="B8" i="26"/>
  <c r="C8" i="26"/>
  <c r="D8" i="26"/>
  <c r="B9" i="26"/>
  <c r="C9" i="26"/>
  <c r="D9" i="26"/>
  <c r="B10" i="26"/>
  <c r="C10" i="26"/>
  <c r="D10" i="26"/>
  <c r="B11" i="26"/>
  <c r="C11" i="26"/>
  <c r="D11" i="26"/>
  <c r="B12" i="26"/>
  <c r="C12" i="26"/>
  <c r="D12" i="26"/>
  <c r="B13" i="26"/>
  <c r="C13" i="26"/>
  <c r="D13" i="26"/>
  <c r="B14" i="26"/>
  <c r="C14" i="26"/>
  <c r="D14" i="26"/>
  <c r="B15" i="26"/>
  <c r="C15" i="26"/>
  <c r="D15" i="26"/>
  <c r="C2" i="26"/>
  <c r="D2" i="26"/>
  <c r="B2" i="26"/>
  <c r="B3" i="25"/>
  <c r="C3" i="25"/>
  <c r="D3" i="25"/>
  <c r="B4" i="25"/>
  <c r="C4" i="25"/>
  <c r="D4" i="25"/>
  <c r="B5" i="25"/>
  <c r="C5" i="25"/>
  <c r="D5" i="25"/>
  <c r="B6" i="25"/>
  <c r="C6" i="25"/>
  <c r="D6" i="25"/>
  <c r="B7" i="25"/>
  <c r="C7" i="25"/>
  <c r="D7" i="25"/>
  <c r="B8" i="25"/>
  <c r="C8" i="25"/>
  <c r="D8" i="25"/>
  <c r="B9" i="25"/>
  <c r="C9" i="25"/>
  <c r="D9" i="25"/>
  <c r="B10" i="25"/>
  <c r="C10" i="25"/>
  <c r="D10" i="25"/>
  <c r="B11" i="25"/>
  <c r="C11" i="25"/>
  <c r="D11" i="25"/>
  <c r="B12" i="25"/>
  <c r="C12" i="25"/>
  <c r="D12" i="25"/>
  <c r="B13" i="25"/>
  <c r="C13" i="25"/>
  <c r="D13" i="25"/>
  <c r="B14" i="25"/>
  <c r="C14" i="25"/>
  <c r="D14" i="25"/>
  <c r="B15" i="25"/>
  <c r="C15" i="25"/>
  <c r="D15" i="25"/>
  <c r="C2" i="25"/>
  <c r="D2" i="25"/>
  <c r="B2" i="25"/>
  <c r="B3" i="24"/>
  <c r="C3" i="24"/>
  <c r="D3" i="24"/>
  <c r="B4" i="24"/>
  <c r="C4" i="24"/>
  <c r="D4" i="24"/>
  <c r="B5" i="24"/>
  <c r="C5" i="24"/>
  <c r="D5" i="24"/>
  <c r="B6" i="24"/>
  <c r="C6" i="24"/>
  <c r="D6" i="24"/>
  <c r="B7" i="24"/>
  <c r="C7" i="24"/>
  <c r="D7" i="24"/>
  <c r="B8" i="24"/>
  <c r="C8" i="24"/>
  <c r="D8" i="24"/>
  <c r="B9" i="24"/>
  <c r="C9" i="24"/>
  <c r="D9" i="24"/>
  <c r="B10" i="24"/>
  <c r="C10" i="24"/>
  <c r="D10" i="24"/>
  <c r="B11" i="24"/>
  <c r="C11" i="24"/>
  <c r="D11" i="24"/>
  <c r="B12" i="24"/>
  <c r="C12" i="24"/>
  <c r="D12" i="24"/>
  <c r="B13" i="24"/>
  <c r="C13" i="24"/>
  <c r="D13" i="24"/>
  <c r="B14" i="24"/>
  <c r="C14" i="24"/>
  <c r="D14" i="24"/>
  <c r="B15" i="24"/>
  <c r="C15" i="24"/>
  <c r="D15" i="24"/>
  <c r="C2" i="24"/>
  <c r="D2" i="24"/>
  <c r="B2" i="24"/>
  <c r="B3" i="23"/>
  <c r="C3" i="23"/>
  <c r="D3" i="23"/>
  <c r="B4" i="23"/>
  <c r="C4" i="23"/>
  <c r="D4" i="23"/>
  <c r="B5" i="23"/>
  <c r="C5" i="23"/>
  <c r="D5" i="23"/>
  <c r="B6" i="23"/>
  <c r="C6" i="23"/>
  <c r="D6" i="23"/>
  <c r="B7" i="23"/>
  <c r="C7" i="23"/>
  <c r="D7" i="23"/>
  <c r="B8" i="23"/>
  <c r="C8" i="23"/>
  <c r="D8" i="23"/>
  <c r="B9" i="23"/>
  <c r="C9" i="23"/>
  <c r="D9" i="23"/>
  <c r="B10" i="23"/>
  <c r="C10" i="23"/>
  <c r="D10" i="23"/>
  <c r="B11" i="23"/>
  <c r="C11" i="23"/>
  <c r="D11" i="23"/>
  <c r="B12" i="23"/>
  <c r="C12" i="23"/>
  <c r="D12" i="23"/>
  <c r="B13" i="23"/>
  <c r="C13" i="23"/>
  <c r="D13" i="23"/>
  <c r="B14" i="23"/>
  <c r="C14" i="23"/>
  <c r="D14" i="23"/>
  <c r="B15" i="23"/>
  <c r="C15" i="23"/>
  <c r="D15" i="23"/>
  <c r="C2" i="23"/>
  <c r="D2" i="23"/>
  <c r="B2" i="23"/>
  <c r="B3" i="22"/>
  <c r="C3" i="22"/>
  <c r="D3" i="22"/>
  <c r="B4" i="22"/>
  <c r="C4" i="22"/>
  <c r="D4" i="22"/>
  <c r="B5" i="22"/>
  <c r="C5" i="22"/>
  <c r="D5" i="22"/>
  <c r="B6" i="22"/>
  <c r="C6" i="22"/>
  <c r="D6" i="22"/>
  <c r="B7" i="22"/>
  <c r="C7" i="22"/>
  <c r="D7" i="22"/>
  <c r="B8" i="22"/>
  <c r="C8" i="22"/>
  <c r="D8" i="22"/>
  <c r="B9" i="22"/>
  <c r="C9" i="22"/>
  <c r="D9" i="22"/>
  <c r="B10" i="22"/>
  <c r="C10" i="22"/>
  <c r="D10" i="22"/>
  <c r="B11" i="22"/>
  <c r="C11" i="22"/>
  <c r="D11" i="22"/>
  <c r="B12" i="22"/>
  <c r="C12" i="22"/>
  <c r="D12" i="22"/>
  <c r="B13" i="22"/>
  <c r="C13" i="22"/>
  <c r="D13" i="22"/>
  <c r="B14" i="22"/>
  <c r="C14" i="22"/>
  <c r="D14" i="22"/>
  <c r="B15" i="22"/>
  <c r="C15" i="22"/>
  <c r="D15" i="22"/>
  <c r="C2" i="22"/>
  <c r="D2" i="22"/>
  <c r="B2" i="22"/>
  <c r="B3" i="21"/>
  <c r="C3" i="21"/>
  <c r="D3" i="21"/>
  <c r="B4" i="21"/>
  <c r="C4" i="21"/>
  <c r="D4" i="21"/>
  <c r="B5" i="21"/>
  <c r="C5" i="21"/>
  <c r="D5" i="21"/>
  <c r="B6" i="21"/>
  <c r="C6" i="21"/>
  <c r="D6" i="21"/>
  <c r="B7" i="21"/>
  <c r="C7" i="21"/>
  <c r="D7" i="21"/>
  <c r="B8" i="21"/>
  <c r="C8" i="21"/>
  <c r="D8" i="21"/>
  <c r="B9" i="21"/>
  <c r="C9" i="21"/>
  <c r="D9" i="21"/>
  <c r="B10" i="21"/>
  <c r="C10" i="21"/>
  <c r="D10" i="21"/>
  <c r="B11" i="21"/>
  <c r="C11" i="21"/>
  <c r="D11" i="21"/>
  <c r="B12" i="21"/>
  <c r="C12" i="21"/>
  <c r="D12" i="21"/>
  <c r="B13" i="21"/>
  <c r="C13" i="21"/>
  <c r="D13" i="21"/>
  <c r="B14" i="21"/>
  <c r="C14" i="21"/>
  <c r="D14" i="21"/>
  <c r="B15" i="21"/>
  <c r="C15" i="21"/>
  <c r="D15" i="21"/>
  <c r="C2" i="21"/>
  <c r="D2" i="21"/>
  <c r="B2" i="21"/>
  <c r="B3" i="20" l="1"/>
  <c r="C3" i="20"/>
  <c r="D3" i="20"/>
  <c r="B4" i="20"/>
  <c r="C4" i="20"/>
  <c r="D4" i="20"/>
  <c r="B5" i="20"/>
  <c r="C5" i="20"/>
  <c r="D5" i="20"/>
  <c r="B6" i="20"/>
  <c r="C6" i="20"/>
  <c r="D6" i="20"/>
  <c r="B7" i="20"/>
  <c r="C7" i="20"/>
  <c r="D7" i="20"/>
  <c r="B8" i="20"/>
  <c r="C8" i="20"/>
  <c r="D8" i="20"/>
  <c r="B9" i="20"/>
  <c r="C9" i="20"/>
  <c r="D9" i="20"/>
  <c r="B10" i="20"/>
  <c r="C10" i="20"/>
  <c r="D10" i="20"/>
  <c r="B11" i="20"/>
  <c r="C11" i="20"/>
  <c r="D11" i="20"/>
  <c r="B12" i="20"/>
  <c r="C12" i="20"/>
  <c r="D12" i="20"/>
  <c r="B13" i="20"/>
  <c r="C13" i="20"/>
  <c r="D13" i="20"/>
  <c r="B14" i="20"/>
  <c r="C14" i="20"/>
  <c r="D14" i="20"/>
  <c r="B15" i="20"/>
  <c r="C15" i="20"/>
  <c r="D15" i="20"/>
  <c r="C2" i="20"/>
  <c r="D2" i="20"/>
  <c r="B2" i="20"/>
  <c r="C2" i="12"/>
  <c r="C3" i="12"/>
  <c r="C4" i="12"/>
  <c r="C5" i="12"/>
  <c r="C9" i="12"/>
  <c r="C11" i="12"/>
  <c r="C12" i="12"/>
  <c r="C13" i="12"/>
  <c r="C14" i="12"/>
  <c r="C15" i="12"/>
  <c r="B3" i="19"/>
  <c r="C3" i="19"/>
  <c r="D3" i="19"/>
  <c r="B4" i="19"/>
  <c r="C4" i="19"/>
  <c r="D4" i="19"/>
  <c r="B5" i="19"/>
  <c r="C5" i="19"/>
  <c r="D5" i="19"/>
  <c r="B6" i="19"/>
  <c r="C6" i="19"/>
  <c r="D6" i="19"/>
  <c r="B7" i="19"/>
  <c r="C7" i="19"/>
  <c r="D7" i="19"/>
  <c r="B8" i="19"/>
  <c r="C8" i="19"/>
  <c r="D8" i="19"/>
  <c r="B9" i="19"/>
  <c r="C9" i="19"/>
  <c r="D9" i="19"/>
  <c r="B10" i="19"/>
  <c r="C10" i="19"/>
  <c r="D10" i="19"/>
  <c r="B11" i="19"/>
  <c r="C11" i="19"/>
  <c r="D11" i="19"/>
  <c r="B12" i="19"/>
  <c r="C12" i="19"/>
  <c r="D12" i="19"/>
  <c r="B13" i="19"/>
  <c r="C13" i="19"/>
  <c r="D13" i="19"/>
  <c r="B14" i="19"/>
  <c r="C14" i="19"/>
  <c r="D14" i="19"/>
  <c r="B15" i="19"/>
  <c r="C15" i="19"/>
  <c r="D15" i="19"/>
  <c r="C2" i="19"/>
  <c r="D2" i="19"/>
  <c r="B2" i="19"/>
  <c r="B3" i="18"/>
  <c r="C3" i="18"/>
  <c r="D3" i="18"/>
  <c r="B4" i="18"/>
  <c r="C4" i="18"/>
  <c r="D4" i="18"/>
  <c r="B5" i="18"/>
  <c r="C5" i="18"/>
  <c r="D5" i="18"/>
  <c r="B6" i="18"/>
  <c r="C6" i="18"/>
  <c r="D6" i="18"/>
  <c r="B7" i="18"/>
  <c r="C7" i="18"/>
  <c r="D7" i="18"/>
  <c r="B8" i="18"/>
  <c r="C8" i="18"/>
  <c r="D8" i="18"/>
  <c r="B9" i="18"/>
  <c r="C9" i="18"/>
  <c r="D9" i="18"/>
  <c r="B10" i="18"/>
  <c r="C10" i="18"/>
  <c r="D10" i="18"/>
  <c r="B11" i="18"/>
  <c r="C11" i="18"/>
  <c r="D11" i="18"/>
  <c r="B12" i="18"/>
  <c r="C12" i="18"/>
  <c r="D12" i="18"/>
  <c r="B13" i="18"/>
  <c r="C13" i="18"/>
  <c r="D13" i="18"/>
  <c r="B14" i="18"/>
  <c r="C14" i="18"/>
  <c r="D14" i="18"/>
  <c r="B15" i="18"/>
  <c r="C15" i="18"/>
  <c r="D15" i="18"/>
  <c r="C2" i="18"/>
  <c r="D2" i="18"/>
  <c r="B2" i="18"/>
  <c r="B3" i="17"/>
  <c r="C3" i="17"/>
  <c r="D3" i="17"/>
  <c r="B4" i="17"/>
  <c r="C4" i="17"/>
  <c r="D4" i="17"/>
  <c r="B5" i="17"/>
  <c r="C5" i="17"/>
  <c r="D5" i="17"/>
  <c r="B6" i="17"/>
  <c r="C6" i="17"/>
  <c r="D6" i="17"/>
  <c r="B7" i="17"/>
  <c r="C7" i="17"/>
  <c r="D7" i="17"/>
  <c r="B8" i="17"/>
  <c r="C8" i="17"/>
  <c r="D8" i="17"/>
  <c r="B9" i="17"/>
  <c r="C9" i="17"/>
  <c r="D9" i="17"/>
  <c r="B10" i="17"/>
  <c r="C10" i="17"/>
  <c r="D10" i="17"/>
  <c r="B11" i="17"/>
  <c r="C11" i="17"/>
  <c r="D11" i="17"/>
  <c r="B12" i="17"/>
  <c r="C12" i="17"/>
  <c r="D12" i="17"/>
  <c r="B13" i="17"/>
  <c r="C13" i="17"/>
  <c r="D13" i="17"/>
  <c r="B14" i="17"/>
  <c r="C14" i="17"/>
  <c r="D14" i="17"/>
  <c r="B15" i="17"/>
  <c r="C15" i="17"/>
  <c r="D15" i="17"/>
  <c r="C2" i="17"/>
  <c r="D2" i="17"/>
  <c r="B2" i="17"/>
  <c r="B3" i="16"/>
  <c r="C3" i="16"/>
  <c r="D3" i="16"/>
  <c r="B4" i="16"/>
  <c r="C4" i="16"/>
  <c r="D4" i="16"/>
  <c r="B5" i="16"/>
  <c r="C5" i="16"/>
  <c r="D5" i="16"/>
  <c r="B6" i="16"/>
  <c r="C6" i="16"/>
  <c r="D6" i="16"/>
  <c r="B7" i="16"/>
  <c r="C7" i="16"/>
  <c r="D7" i="16"/>
  <c r="B8" i="16"/>
  <c r="C8" i="16"/>
  <c r="D8" i="16"/>
  <c r="B9" i="16"/>
  <c r="C9" i="16"/>
  <c r="D9" i="16"/>
  <c r="B10" i="16"/>
  <c r="C10" i="16"/>
  <c r="D10" i="16"/>
  <c r="B11" i="16"/>
  <c r="C11" i="16"/>
  <c r="D11" i="16"/>
  <c r="B12" i="16"/>
  <c r="C12" i="16"/>
  <c r="D12" i="16"/>
  <c r="B13" i="16"/>
  <c r="C13" i="16"/>
  <c r="D13" i="16"/>
  <c r="B14" i="16"/>
  <c r="C14" i="16"/>
  <c r="D14" i="16"/>
  <c r="B15" i="16"/>
  <c r="C15" i="16"/>
  <c r="D15" i="16"/>
  <c r="C2" i="16"/>
  <c r="D2" i="16"/>
  <c r="B2" i="16"/>
  <c r="B3" i="15"/>
  <c r="C3" i="15"/>
  <c r="D3" i="15"/>
  <c r="B4" i="15"/>
  <c r="C4" i="15"/>
  <c r="D4" i="15"/>
  <c r="B5" i="15"/>
  <c r="C5" i="15"/>
  <c r="D5" i="15"/>
  <c r="B6" i="15"/>
  <c r="C6" i="15"/>
  <c r="D6" i="15"/>
  <c r="B7" i="15"/>
  <c r="C7" i="15"/>
  <c r="D7" i="15"/>
  <c r="B8" i="15"/>
  <c r="C8" i="15"/>
  <c r="D8" i="15"/>
  <c r="B9" i="15"/>
  <c r="C9" i="15"/>
  <c r="D9" i="15"/>
  <c r="B10" i="15"/>
  <c r="C10" i="15"/>
  <c r="D10" i="15"/>
  <c r="B11" i="15"/>
  <c r="C11" i="15"/>
  <c r="D11" i="15"/>
  <c r="B12" i="15"/>
  <c r="C12" i="15"/>
  <c r="D12" i="15"/>
  <c r="B13" i="15"/>
  <c r="C13" i="15"/>
  <c r="D13" i="15"/>
  <c r="B14" i="15"/>
  <c r="C14" i="15"/>
  <c r="D14" i="15"/>
  <c r="B15" i="15"/>
  <c r="C15" i="15"/>
  <c r="D15" i="15"/>
  <c r="C2" i="15"/>
  <c r="D2" i="15"/>
  <c r="B2" i="15"/>
  <c r="B3" i="14"/>
  <c r="C3" i="14"/>
  <c r="D3" i="14"/>
  <c r="B4" i="14"/>
  <c r="C4" i="14"/>
  <c r="D4" i="14"/>
  <c r="B5" i="14"/>
  <c r="C5" i="14"/>
  <c r="D5" i="14"/>
  <c r="B6" i="14"/>
  <c r="C6" i="14"/>
  <c r="D6" i="14"/>
  <c r="B7" i="14"/>
  <c r="C7" i="14"/>
  <c r="D7" i="14"/>
  <c r="B8" i="14"/>
  <c r="C8" i="14"/>
  <c r="D8" i="14"/>
  <c r="B9" i="14"/>
  <c r="C9" i="14"/>
  <c r="D9" i="14"/>
  <c r="B10" i="14"/>
  <c r="C10" i="14"/>
  <c r="D10" i="14"/>
  <c r="B11" i="14"/>
  <c r="C11" i="14"/>
  <c r="D11" i="14"/>
  <c r="B12" i="14"/>
  <c r="C12" i="14"/>
  <c r="D12" i="14"/>
  <c r="B13" i="14"/>
  <c r="C13" i="14"/>
  <c r="D13" i="14"/>
  <c r="B14" i="14"/>
  <c r="C14" i="14"/>
  <c r="D14" i="14"/>
  <c r="B15" i="14"/>
  <c r="C15" i="14"/>
  <c r="D15" i="14"/>
  <c r="C2" i="14"/>
  <c r="D2" i="14"/>
  <c r="B2" i="14"/>
  <c r="B3" i="13"/>
  <c r="C3" i="13"/>
  <c r="D3" i="13"/>
  <c r="B4" i="13"/>
  <c r="C4" i="13"/>
  <c r="D4" i="13"/>
  <c r="B5" i="13"/>
  <c r="C5" i="13"/>
  <c r="D5" i="13"/>
  <c r="B6" i="13"/>
  <c r="C6" i="13"/>
  <c r="D6" i="13"/>
  <c r="B7" i="13"/>
  <c r="C7" i="13"/>
  <c r="D7" i="13"/>
  <c r="B8" i="13"/>
  <c r="C8" i="13"/>
  <c r="D8" i="13"/>
  <c r="B9" i="13"/>
  <c r="C9" i="13"/>
  <c r="D9" i="13"/>
  <c r="B10" i="13"/>
  <c r="C10" i="13"/>
  <c r="D10" i="13"/>
  <c r="B11" i="13"/>
  <c r="C11" i="13"/>
  <c r="D11" i="13"/>
  <c r="B12" i="13"/>
  <c r="C12" i="13"/>
  <c r="D12" i="13"/>
  <c r="B13" i="13"/>
  <c r="C13" i="13"/>
  <c r="D13" i="13"/>
  <c r="B14" i="13"/>
  <c r="C14" i="13"/>
  <c r="D14" i="13"/>
  <c r="B15" i="13"/>
  <c r="C15" i="13"/>
  <c r="D15" i="13"/>
  <c r="C2" i="13"/>
  <c r="D2" i="13"/>
  <c r="B2" i="13"/>
  <c r="B3" i="12"/>
  <c r="D3" i="12"/>
  <c r="B4" i="12"/>
  <c r="D4" i="12"/>
  <c r="B5" i="12"/>
  <c r="D5" i="12"/>
  <c r="B6" i="12"/>
  <c r="C6" i="12"/>
  <c r="D6" i="12"/>
  <c r="B7" i="12"/>
  <c r="C7" i="12"/>
  <c r="D7" i="12"/>
  <c r="B8" i="12"/>
  <c r="C8" i="12"/>
  <c r="D8" i="12"/>
  <c r="B9" i="12"/>
  <c r="D9" i="12"/>
  <c r="B10" i="12"/>
  <c r="C10" i="12"/>
  <c r="D10" i="12"/>
  <c r="B11" i="12"/>
  <c r="D11" i="12"/>
  <c r="B12" i="12"/>
  <c r="D12" i="12"/>
  <c r="B13" i="12"/>
  <c r="D13" i="12"/>
  <c r="B14" i="12"/>
  <c r="D14" i="12"/>
  <c r="B15" i="12"/>
  <c r="D15" i="12"/>
  <c r="D2" i="12"/>
  <c r="B2" i="12"/>
  <c r="B3" i="11"/>
  <c r="C3" i="11"/>
  <c r="D3" i="11"/>
  <c r="B4" i="11"/>
  <c r="C4" i="11"/>
  <c r="D4" i="11"/>
  <c r="B5" i="11"/>
  <c r="C5" i="11"/>
  <c r="D5" i="11"/>
  <c r="B6" i="11"/>
  <c r="C6" i="11"/>
  <c r="D6" i="11"/>
  <c r="B7" i="11"/>
  <c r="C7" i="11"/>
  <c r="D7" i="11"/>
  <c r="B8" i="11"/>
  <c r="C8" i="11"/>
  <c r="D8" i="11"/>
  <c r="B9" i="11"/>
  <c r="C9" i="11"/>
  <c r="D9" i="11"/>
  <c r="B10" i="11"/>
  <c r="C10" i="11"/>
  <c r="D10" i="11"/>
  <c r="B11" i="11"/>
  <c r="C11" i="11"/>
  <c r="D11" i="11"/>
  <c r="B12" i="11"/>
  <c r="C12" i="11"/>
  <c r="D12" i="11"/>
  <c r="B13" i="11"/>
  <c r="C13" i="11"/>
  <c r="D13" i="11"/>
  <c r="B14" i="11"/>
  <c r="C14" i="11"/>
  <c r="D14" i="11"/>
  <c r="B15" i="11"/>
  <c r="C15" i="11"/>
  <c r="D15" i="11"/>
  <c r="C2" i="11"/>
  <c r="D2" i="11"/>
  <c r="B2" i="11"/>
  <c r="B3" i="10"/>
  <c r="C3" i="10"/>
  <c r="D3" i="10"/>
  <c r="B4" i="10"/>
  <c r="C4" i="10"/>
  <c r="D4" i="10"/>
  <c r="B5" i="10"/>
  <c r="C5" i="10"/>
  <c r="D5" i="10"/>
  <c r="B6" i="10"/>
  <c r="C6" i="10"/>
  <c r="D6" i="10"/>
  <c r="B7" i="10"/>
  <c r="C7" i="10"/>
  <c r="D7" i="10"/>
  <c r="B8" i="10"/>
  <c r="C8" i="10"/>
  <c r="D8" i="10"/>
  <c r="B9" i="10"/>
  <c r="C9" i="10"/>
  <c r="D9" i="10"/>
  <c r="B10" i="10"/>
  <c r="C10" i="10"/>
  <c r="D10" i="10"/>
  <c r="B11" i="10"/>
  <c r="C11" i="10"/>
  <c r="D11" i="10"/>
  <c r="B12" i="10"/>
  <c r="C12" i="10"/>
  <c r="D12" i="10"/>
  <c r="B13" i="10"/>
  <c r="C13" i="10"/>
  <c r="D13" i="10"/>
  <c r="B14" i="10"/>
  <c r="C14" i="10"/>
  <c r="D14" i="10"/>
  <c r="B15" i="10"/>
  <c r="C15" i="10"/>
  <c r="D15" i="10"/>
  <c r="C2" i="10"/>
  <c r="D2" i="10"/>
  <c r="B2" i="10"/>
  <c r="B3" i="9"/>
  <c r="C3" i="9"/>
  <c r="D3" i="9"/>
  <c r="B4" i="9"/>
  <c r="C4" i="9"/>
  <c r="D4" i="9"/>
  <c r="B5" i="9"/>
  <c r="C5" i="9"/>
  <c r="D5" i="9"/>
  <c r="B6" i="9"/>
  <c r="C6" i="9"/>
  <c r="D6" i="9"/>
  <c r="B7" i="9"/>
  <c r="C7" i="9"/>
  <c r="D7" i="9"/>
  <c r="B8" i="9"/>
  <c r="C8" i="9"/>
  <c r="D8" i="9"/>
  <c r="B9" i="9"/>
  <c r="C9" i="9"/>
  <c r="D9" i="9"/>
  <c r="B10" i="9"/>
  <c r="C10" i="9"/>
  <c r="D10" i="9"/>
  <c r="B11" i="9"/>
  <c r="C11" i="9"/>
  <c r="D11" i="9"/>
  <c r="B12" i="9"/>
  <c r="C12" i="9"/>
  <c r="D12" i="9"/>
  <c r="B13" i="9"/>
  <c r="C13" i="9"/>
  <c r="D13" i="9"/>
  <c r="B14" i="9"/>
  <c r="C14" i="9"/>
  <c r="D14" i="9"/>
  <c r="B15" i="9"/>
  <c r="C15" i="9"/>
  <c r="D15" i="9"/>
  <c r="D2" i="9"/>
  <c r="C2" i="9"/>
  <c r="B2" i="9"/>
  <c r="B3" i="8"/>
  <c r="C3" i="8"/>
  <c r="D3" i="8"/>
  <c r="B4" i="8"/>
  <c r="C4" i="8"/>
  <c r="D4" i="8"/>
  <c r="B5" i="8"/>
  <c r="C5" i="8"/>
  <c r="D5" i="8"/>
  <c r="B6" i="8"/>
  <c r="C6" i="8"/>
  <c r="D6" i="8"/>
  <c r="B7" i="8"/>
  <c r="C7" i="8"/>
  <c r="D7" i="8"/>
  <c r="B8" i="8"/>
  <c r="C8" i="8"/>
  <c r="D8" i="8"/>
  <c r="B9" i="8"/>
  <c r="C9" i="8"/>
  <c r="D9" i="8"/>
  <c r="B10" i="8"/>
  <c r="C10" i="8"/>
  <c r="D10" i="8"/>
  <c r="B11" i="8"/>
  <c r="C11" i="8"/>
  <c r="D11" i="8"/>
  <c r="B12" i="8"/>
  <c r="C12" i="8"/>
  <c r="D12" i="8"/>
  <c r="B13" i="8"/>
  <c r="C13" i="8"/>
  <c r="D13" i="8"/>
  <c r="B14" i="8"/>
  <c r="C14" i="8"/>
  <c r="D14" i="8"/>
  <c r="B15" i="8"/>
  <c r="C15" i="8"/>
  <c r="D15" i="8"/>
  <c r="C2" i="8"/>
  <c r="D2" i="8"/>
  <c r="B2" i="8"/>
  <c r="B3" i="7"/>
  <c r="C3" i="7"/>
  <c r="D3" i="7"/>
  <c r="B4" i="7"/>
  <c r="C4" i="7"/>
  <c r="D4" i="7"/>
  <c r="B5" i="7"/>
  <c r="C5" i="7"/>
  <c r="D5" i="7"/>
  <c r="B6" i="7"/>
  <c r="C6" i="7"/>
  <c r="D6" i="7"/>
  <c r="B7" i="7"/>
  <c r="C7" i="7"/>
  <c r="D7" i="7"/>
  <c r="B8" i="7"/>
  <c r="C8" i="7"/>
  <c r="D8" i="7"/>
  <c r="B9" i="7"/>
  <c r="C9" i="7"/>
  <c r="D9" i="7"/>
  <c r="B10" i="7"/>
  <c r="C10" i="7"/>
  <c r="D10" i="7"/>
  <c r="B11" i="7"/>
  <c r="C11" i="7"/>
  <c r="D11" i="7"/>
  <c r="B12" i="7"/>
  <c r="C12" i="7"/>
  <c r="D12" i="7"/>
  <c r="B13" i="7"/>
  <c r="C13" i="7"/>
  <c r="D13" i="7"/>
  <c r="B14" i="7"/>
  <c r="C14" i="7"/>
  <c r="D14" i="7"/>
  <c r="B15" i="7"/>
  <c r="C15" i="7"/>
  <c r="D15" i="7"/>
  <c r="C2" i="7"/>
  <c r="D2" i="7"/>
  <c r="B2" i="7"/>
  <c r="B3" i="6"/>
  <c r="C3" i="6"/>
  <c r="D3" i="6"/>
  <c r="B4" i="6"/>
  <c r="C4" i="6"/>
  <c r="D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D14" i="6"/>
  <c r="B15" i="6"/>
  <c r="C15" i="6"/>
  <c r="D15" i="6"/>
  <c r="D2" i="6"/>
  <c r="C2" i="6"/>
  <c r="B2" i="6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C2" i="5"/>
  <c r="D2" i="5"/>
  <c r="B2" i="5"/>
  <c r="B3" i="4"/>
  <c r="C3" i="4"/>
  <c r="D3" i="4"/>
  <c r="B4" i="4"/>
  <c r="C4" i="4"/>
  <c r="D4" i="4"/>
  <c r="B5" i="4"/>
  <c r="C5" i="4"/>
  <c r="D5" i="4"/>
  <c r="B6" i="4"/>
  <c r="C6" i="4"/>
  <c r="D6" i="4"/>
  <c r="B7" i="4"/>
  <c r="C7" i="4"/>
  <c r="D7" i="4"/>
  <c r="B8" i="4"/>
  <c r="C8" i="4"/>
  <c r="D8" i="4"/>
  <c r="B9" i="4"/>
  <c r="C9" i="4"/>
  <c r="D9" i="4"/>
  <c r="B10" i="4"/>
  <c r="C10" i="4"/>
  <c r="D10" i="4"/>
  <c r="B11" i="4"/>
  <c r="C11" i="4"/>
  <c r="D11" i="4"/>
  <c r="B12" i="4"/>
  <c r="C12" i="4"/>
  <c r="D12" i="4"/>
  <c r="B13" i="4"/>
  <c r="C13" i="4"/>
  <c r="D13" i="4"/>
  <c r="B14" i="4"/>
  <c r="C14" i="4"/>
  <c r="D14" i="4"/>
  <c r="B15" i="4"/>
  <c r="C15" i="4"/>
  <c r="D15" i="4"/>
  <c r="D2" i="4"/>
  <c r="C2" i="4"/>
  <c r="B2" i="4"/>
  <c r="B3" i="3"/>
  <c r="C3" i="3"/>
  <c r="D3" i="3"/>
  <c r="B4" i="3"/>
  <c r="C4" i="3"/>
  <c r="D4" i="3"/>
  <c r="B5" i="3"/>
  <c r="C5" i="3"/>
  <c r="D5" i="3"/>
  <c r="B6" i="3"/>
  <c r="C6" i="3"/>
  <c r="D6" i="3"/>
  <c r="B7" i="3"/>
  <c r="C7" i="3"/>
  <c r="D7" i="3"/>
  <c r="B8" i="3"/>
  <c r="C8" i="3"/>
  <c r="D8" i="3"/>
  <c r="B9" i="3"/>
  <c r="C9" i="3"/>
  <c r="D9" i="3"/>
  <c r="B10" i="3"/>
  <c r="C10" i="3"/>
  <c r="D10" i="3"/>
  <c r="B11" i="3"/>
  <c r="C11" i="3"/>
  <c r="D11" i="3"/>
  <c r="B12" i="3"/>
  <c r="C12" i="3"/>
  <c r="D12" i="3"/>
  <c r="B13" i="3"/>
  <c r="C13" i="3"/>
  <c r="D13" i="3"/>
  <c r="B14" i="3"/>
  <c r="C14" i="3"/>
  <c r="D14" i="3"/>
  <c r="B15" i="3"/>
  <c r="C15" i="3"/>
  <c r="D15" i="3"/>
  <c r="C2" i="3"/>
  <c r="D2" i="3"/>
  <c r="B2" i="3"/>
  <c r="C2" i="2"/>
  <c r="D2" i="2"/>
  <c r="C3" i="2"/>
  <c r="D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<sst xmlns="http://schemas.openxmlformats.org/spreadsheetml/2006/main" count="131" uniqueCount="22">
  <si>
    <t>№</t>
  </si>
  <si>
    <t>y</t>
  </si>
  <si>
    <t>x1</t>
  </si>
  <si>
    <t>x2</t>
  </si>
  <si>
    <r>
      <t>x1</t>
    </r>
    <r>
      <rPr>
        <sz val="12"/>
        <color theme="1"/>
        <rFont val="Times New Roman"/>
        <family val="1"/>
        <charset val="204"/>
      </rPr>
      <t>y</t>
    </r>
  </si>
  <si>
    <t>x1^2</t>
  </si>
  <si>
    <t>y^2</t>
  </si>
  <si>
    <t>Сумма</t>
  </si>
  <si>
    <t>Среднее значение</t>
  </si>
  <si>
    <t>a1</t>
  </si>
  <si>
    <t>a0</t>
  </si>
  <si>
    <t>y~</t>
  </si>
  <si>
    <t>R^2</t>
  </si>
  <si>
    <t>S_yx1</t>
  </si>
  <si>
    <t>S_a1</t>
  </si>
  <si>
    <t>t_a1</t>
  </si>
  <si>
    <t>S_a0</t>
  </si>
  <si>
    <t>t_a0</t>
  </si>
  <si>
    <t>m_yp</t>
  </si>
  <si>
    <t>x2y</t>
  </si>
  <si>
    <t>x2^2</t>
  </si>
  <si>
    <t>S_yx2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</si>
</sst>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top" wrapText="1"/>
    </xf>
    <xf numFmtId="0" fontId="2" fillId="0" borderId="0" xfId="0" applyFont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1079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>
          <a:spLocks noChangeAspect="1" noChangeArrowheads="1"/>
        </xdr:cNvSpPr>
      </xdr:nvSpPr>
      <xdr:spPr bwMode="auto">
        <a:xfrm>
          <a:off x="207645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1080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1081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207645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85725</xdr:colOff>
      <xdr:row>0</xdr:row>
      <xdr:rowOff>180975</xdr:rowOff>
    </xdr:to>
    <xdr:sp macro="" textlink="">
      <xdr:nvSpPr>
        <xdr:cNvPr id="1082" name="AutoShape 4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33147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142875</xdr:colOff>
      <xdr:row>0</xdr:row>
      <xdr:rowOff>180975</xdr:rowOff>
    </xdr:to>
    <xdr:sp macro="" textlink="">
      <xdr:nvSpPr>
        <xdr:cNvPr id="1083" name="AutoShape 5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3933825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152400</xdr:colOff>
      <xdr:row>0</xdr:row>
      <xdr:rowOff>180975</xdr:rowOff>
    </xdr:to>
    <xdr:sp macro="" textlink="">
      <xdr:nvSpPr>
        <xdr:cNvPr id="1084" name="AutoShape 6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4791075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2073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100-0000190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2074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100-00001A08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2075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1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2076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1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2077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1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2078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100-00001E08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3097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2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3098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2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3099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3100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200-00001C0C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3101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200-00001D0C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3102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200-00001E0C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4121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3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4122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3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4123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3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4124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3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4125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3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4126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3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5145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400-0000191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5146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400-00001A14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5147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4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5148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4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5149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4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5150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4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6169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5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6170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5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6171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500-00001B18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6172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500-00001C18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6173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500-00001D18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6174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500-00001E18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7193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600-0000191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7194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600-00001A1C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7195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600-00001B1C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7196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6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7197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6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7198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6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8217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7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8218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7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8219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7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8220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700-00001C2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8221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700-00001D2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8222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700-00001E2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9241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800-0000192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9242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800-00001A24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9243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800-00001B24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9244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800-00001C24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9245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8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9246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8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10265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900-0000192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10266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900-00001A28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10267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900-00001B28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10268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900-00001C28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10269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900-00001D28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10270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900-00001E28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11289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A00-0000192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11290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A00-00001A2C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11291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A00-00001B2C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11292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A00-00001C2C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11293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A00-00001D2C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11294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A00-00001E2C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12313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B00-0000193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12314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B00-00001A3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12315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B00-00001B3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12316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12317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B00-00001D3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12318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B00-00001E3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13337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C00-0000193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13338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C00-00001A34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13339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C00-00001B34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13340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C00-00001C34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13341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C00-00001D34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13342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C00-00001E34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14361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D00-0000193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14362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D00-00001A38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14363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D00-00001B38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14364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D00-00001C38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14365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D00-00001D38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14366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D00-00001E38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15385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E00-0000193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15386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E00-00001A3C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15387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E00-00001B3C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15388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E00-00001C3C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15389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E00-00001D3C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15390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E00-00001E3C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16409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F00-0000194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16410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F00-00001A4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16411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F00-00001B4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16412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0F00-00001C4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16413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0F00-00001D4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16414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0F00-00001E4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17433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1000-0000194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17434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1000-00001A44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17435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1000-00001B44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17436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1000-00001C44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17437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1000-00001D44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17438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1000-00001E44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18457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1100-0000194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18458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1100-00001A48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18459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1100-00001B48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18460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1100-00001C48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18461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1100-00001D48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18462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1100-00001E48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19481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1200-0000194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19482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1200-00001A4C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19483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1200-00001B4C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19484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1200-00001C4C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19485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1200-00001D4C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19486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1200-00001E4C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20505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1300-0000195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20506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1300-00001A5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20507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1300-00001B5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20508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1300-00001C5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20509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1300-00001D5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20510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1300-00001E5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2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3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4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5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6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7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2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3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4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5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6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7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2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3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4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5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6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7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2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3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4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5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6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7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2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3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4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5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6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7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0</xdr:row>
      <xdr:rowOff>180975</xdr:rowOff>
    </xdr:to>
    <xdr:sp macro="" textlink="">
      <xdr:nvSpPr>
        <xdr:cNvPr id="2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3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4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85725</xdr:colOff>
      <xdr:row>0</xdr:row>
      <xdr:rowOff>180975</xdr:rowOff>
    </xdr:to>
    <xdr:sp macro="" textlink="">
      <xdr:nvSpPr>
        <xdr:cNvPr id="5" name="AutoShape 1" descr="data:image/gif;base64,R0lGODlhCQATAHcAMSH+GlNvZnR3YXJlOiBNaWNyb3NvZnQgT2ZmaWNlACH5BAEAAAAALAAABwAJAAoAhAAAAAAAAAAAOgAAZgBmZgBmtjoAOjpmtjqQ22YAAGYAOmY6kGaQ22a2/5A6AJDb/7ZmALZmOrb//9uQOtv///+2Zv/bkP//tgECAwECAwECAwECAwECAwECAwECAwECAwUvIAAFBSCSVTMNEnApj2kZsXWYbtIAUYxDBQsDZ5oQFhQioCLwESc75QShdASoyhAAOw==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857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180975</xdr:rowOff>
    </xdr:to>
    <xdr:sp macro="" textlink="">
      <xdr:nvSpPr>
        <xdr:cNvPr id="6" name="AutoShape 2" descr="data:image/gif;base64,R0lGODlhDwATAHcAMSH+GlNvZnR3YXJlOiBNaWNyb3NvZnQgT2ZmaWNlACH5BAEAAAAALAAABwAPAAsAhAAAAAAAAAAAOgAAZgA6OgA6kDoAZjqQ22YAAGaQ22a2/5A6AJA6OpA6ZpDb25Db/7ZmALb/27b//9uQOtv///+2Zv/bkP//tv//2wECAwECAwECAwECAwECAwECAwECAwU+IHAhwgNAJaCuWBMtB6SsND0FR60D1SDtNMwiRev9ABiGA2ZJiBAEww9luhUoK4sUSNMeuQAvWCUGQwLoQwgAOw==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152400</xdr:colOff>
      <xdr:row>0</xdr:row>
      <xdr:rowOff>180975</xdr:rowOff>
    </xdr:to>
    <xdr:sp macro="" textlink="">
      <xdr:nvSpPr>
        <xdr:cNvPr id="7" name="AutoShape 3" descr="data:image/gif;base64,R0lGODlhEAATAHcAMSH+GlNvZnR3YXJlOiBNaWNyb3NvZnQgT2ZmaWNlACH5BAEAAAAALAAABwAPAAsAhAAAAAAAAAAAOgAAZgA6kDoAADo6kDqQ22YAAGaQ22a2/5A6AJA6OpA6ZpDb25Db/7ZmALb/27b//9uQOtv///+2Zv/bkP//tv//2wECAwECAwECAwECAwECAwECAwECAwVEIHAhwgNAJaCuWBMtB6SsND0FR60D1SDtNMwitaoEAgQKAMNwwCwJgMVAGSlQplsy2PgBV5PZVzXJjQFlnnhnKRwDihAAOw==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B1" sqref="B1:D1"/>
    </sheetView>
  </sheetViews>
  <sheetFormatPr defaultRowHeight="14.5" x14ac:dyDescent="0.35"/>
  <cols>
    <col min="3" max="3" width="12.81640625" bestFit="1" customWidth="1"/>
    <col min="4" max="6" width="9.26953125" bestFit="1" customWidth="1"/>
    <col min="7" max="7" width="12.81640625" bestFit="1" customWidth="1"/>
    <col min="8" max="8" width="9.26953125" bestFit="1" customWidth="1"/>
  </cols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v>9.6999999999999993</v>
      </c>
      <c r="C2" s="1">
        <v>1.59</v>
      </c>
      <c r="D2" s="1">
        <v>0.25</v>
      </c>
    </row>
    <row r="3" spans="1:4" ht="15.5" x14ac:dyDescent="0.35">
      <c r="A3" s="1">
        <v>2</v>
      </c>
      <c r="B3" s="1">
        <v>9.9499999999999993</v>
      </c>
      <c r="C3" s="1">
        <v>1.26</v>
      </c>
      <c r="D3" s="1">
        <v>0.26</v>
      </c>
    </row>
    <row r="4" spans="1:4" ht="15.5" x14ac:dyDescent="0.35">
      <c r="A4" s="1">
        <v>3</v>
      </c>
      <c r="B4" s="1">
        <v>8.4</v>
      </c>
      <c r="C4" s="1">
        <v>0.88</v>
      </c>
      <c r="D4" s="1">
        <v>0.28999999999999998</v>
      </c>
    </row>
    <row r="5" spans="1:4" ht="15.5" x14ac:dyDescent="0.35">
      <c r="A5" s="1">
        <v>4</v>
      </c>
      <c r="B5" s="1">
        <v>8.7799999999999994</v>
      </c>
      <c r="C5" s="1">
        <v>1.1299999999999999</v>
      </c>
      <c r="D5" s="1">
        <v>0.27</v>
      </c>
    </row>
    <row r="6" spans="1:4" ht="15.5" x14ac:dyDescent="0.35">
      <c r="A6" s="1">
        <v>5</v>
      </c>
      <c r="B6" s="1">
        <v>10.5</v>
      </c>
      <c r="C6" s="1">
        <v>0.64</v>
      </c>
      <c r="D6" s="1">
        <v>0.24</v>
      </c>
    </row>
    <row r="7" spans="1:4" ht="15.5" x14ac:dyDescent="0.35">
      <c r="A7" s="1">
        <v>6</v>
      </c>
      <c r="B7" s="1">
        <v>11.2</v>
      </c>
      <c r="C7" s="1">
        <v>0.59</v>
      </c>
      <c r="D7" s="1">
        <v>0.31</v>
      </c>
    </row>
    <row r="8" spans="1:4" ht="15.5" x14ac:dyDescent="0.35">
      <c r="A8" s="1">
        <v>7</v>
      </c>
      <c r="B8" s="1">
        <v>12</v>
      </c>
      <c r="C8" s="1">
        <v>0.73</v>
      </c>
      <c r="D8" s="1">
        <v>0.27</v>
      </c>
    </row>
    <row r="9" spans="1:4" ht="15.5" x14ac:dyDescent="0.35">
      <c r="A9" s="1">
        <v>8</v>
      </c>
      <c r="B9" s="1">
        <v>10.199999999999999</v>
      </c>
      <c r="C9" s="1">
        <v>1.34</v>
      </c>
      <c r="D9" s="1">
        <v>0.27</v>
      </c>
    </row>
    <row r="10" spans="1:4" ht="15.5" x14ac:dyDescent="0.35">
      <c r="A10" s="1">
        <v>9</v>
      </c>
      <c r="B10" s="1">
        <v>9.67</v>
      </c>
      <c r="C10" s="1">
        <v>1.06</v>
      </c>
      <c r="D10" s="1">
        <v>0.28000000000000003</v>
      </c>
    </row>
    <row r="11" spans="1:4" ht="15.5" x14ac:dyDescent="0.35">
      <c r="A11" s="1">
        <v>10</v>
      </c>
      <c r="B11" s="1">
        <v>9.5500000000000007</v>
      </c>
      <c r="C11" s="1">
        <v>1.38</v>
      </c>
      <c r="D11" s="1">
        <v>0.26</v>
      </c>
    </row>
    <row r="12" spans="1:4" ht="15.5" x14ac:dyDescent="0.35">
      <c r="A12" s="1">
        <v>11</v>
      </c>
      <c r="B12" s="1">
        <v>10.3</v>
      </c>
      <c r="C12" s="1">
        <v>0.95</v>
      </c>
      <c r="D12" s="1">
        <v>0.23</v>
      </c>
    </row>
    <row r="13" spans="1:4" ht="15.5" x14ac:dyDescent="0.35">
      <c r="A13" s="1">
        <v>12</v>
      </c>
      <c r="B13" s="1">
        <v>11.6</v>
      </c>
      <c r="C13" s="1">
        <v>0.86</v>
      </c>
      <c r="D13" s="1">
        <v>0.28000000000000003</v>
      </c>
    </row>
    <row r="14" spans="1:4" ht="15.5" x14ac:dyDescent="0.35">
      <c r="A14" s="1">
        <v>13</v>
      </c>
      <c r="B14" s="1">
        <v>12.4</v>
      </c>
      <c r="C14" s="1">
        <v>0.97</v>
      </c>
      <c r="D14" s="1">
        <v>0.27</v>
      </c>
    </row>
    <row r="15" spans="1:4" ht="15.5" x14ac:dyDescent="0.35">
      <c r="A15" s="1">
        <v>14</v>
      </c>
      <c r="B15" s="1">
        <v>11.3</v>
      </c>
      <c r="C15" s="1">
        <v>1.06</v>
      </c>
      <c r="D15" s="1">
        <v>0.26</v>
      </c>
    </row>
    <row r="16" spans="1:4" ht="15.5" x14ac:dyDescent="0.35">
      <c r="A16" s="1"/>
      <c r="B16" s="1"/>
      <c r="C16" s="1"/>
      <c r="D16" s="1"/>
    </row>
    <row r="17" spans="1:4" ht="15.5" x14ac:dyDescent="0.35">
      <c r="A17" s="1"/>
      <c r="B17" s="1"/>
      <c r="C17" s="1"/>
      <c r="D17" s="1"/>
    </row>
    <row r="18" spans="1:4" ht="15.5" x14ac:dyDescent="0.35">
      <c r="A18" s="1"/>
      <c r="B18" s="1"/>
      <c r="C18" s="1"/>
      <c r="D18" s="1"/>
    </row>
    <row r="19" spans="1:4" ht="15.5" x14ac:dyDescent="0.35">
      <c r="A19" s="1"/>
      <c r="B19" s="1"/>
      <c r="C19" s="1"/>
      <c r="D19" s="1"/>
    </row>
    <row r="20" spans="1:4" ht="15.5" x14ac:dyDescent="0.35">
      <c r="A20" s="1"/>
      <c r="B20" s="1"/>
      <c r="C20" s="1"/>
      <c r="D20" s="1"/>
    </row>
    <row r="21" spans="1:4" ht="15.5" x14ac:dyDescent="0.35">
      <c r="A21" s="1"/>
      <c r="B21" s="1"/>
      <c r="C21" s="1"/>
      <c r="D2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B1" sqref="B1:D1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1'!B2+0.2</f>
        <v>9.8999999999999986</v>
      </c>
      <c r="C2" s="1">
        <f>'Вариант 1'!C2+0.2</f>
        <v>1.79</v>
      </c>
      <c r="D2" s="1">
        <f>'Вариант 1'!D2+0.2</f>
        <v>0.45</v>
      </c>
    </row>
    <row r="3" spans="1:4" ht="15.5" x14ac:dyDescent="0.35">
      <c r="A3" s="1">
        <v>2</v>
      </c>
      <c r="B3" s="1">
        <f>'Вариант 1'!B3+0.2</f>
        <v>10.149999999999999</v>
      </c>
      <c r="C3" s="1">
        <f>'Вариант 1'!C3+0.2</f>
        <v>1.46</v>
      </c>
      <c r="D3" s="1">
        <f>'Вариант 1'!D3+0.2</f>
        <v>0.46</v>
      </c>
    </row>
    <row r="4" spans="1:4" ht="15.5" x14ac:dyDescent="0.35">
      <c r="A4" s="1">
        <v>3</v>
      </c>
      <c r="B4" s="1">
        <f>'Вариант 1'!B4+0.2</f>
        <v>8.6</v>
      </c>
      <c r="C4" s="1">
        <f>'Вариант 1'!C4+0.2</f>
        <v>1.08</v>
      </c>
      <c r="D4" s="1">
        <f>'Вариант 1'!D4+0.2</f>
        <v>0.49</v>
      </c>
    </row>
    <row r="5" spans="1:4" ht="15.5" x14ac:dyDescent="0.35">
      <c r="A5" s="1">
        <v>4</v>
      </c>
      <c r="B5" s="1">
        <f>'Вариант 1'!B5+0.2</f>
        <v>8.9799999999999986</v>
      </c>
      <c r="C5" s="1">
        <f>'Вариант 1'!C5+0.2</f>
        <v>1.3299999999999998</v>
      </c>
      <c r="D5" s="1">
        <f>'Вариант 1'!D5+0.2</f>
        <v>0.47000000000000003</v>
      </c>
    </row>
    <row r="6" spans="1:4" ht="15.5" x14ac:dyDescent="0.35">
      <c r="A6" s="1">
        <v>5</v>
      </c>
      <c r="B6" s="1">
        <f>'Вариант 1'!B6+0.2</f>
        <v>10.7</v>
      </c>
      <c r="C6" s="1">
        <f>'Вариант 1'!C6+0.2</f>
        <v>0.84000000000000008</v>
      </c>
      <c r="D6" s="1">
        <f>'Вариант 1'!D6+0.2</f>
        <v>0.44</v>
      </c>
    </row>
    <row r="7" spans="1:4" ht="15.5" x14ac:dyDescent="0.35">
      <c r="A7" s="1">
        <v>6</v>
      </c>
      <c r="B7" s="1">
        <f>'Вариант 1'!B7+0.2</f>
        <v>11.399999999999999</v>
      </c>
      <c r="C7" s="1">
        <f>'Вариант 1'!C7+0.2</f>
        <v>0.79</v>
      </c>
      <c r="D7" s="1">
        <f>'Вариант 1'!D7+0.2</f>
        <v>0.51</v>
      </c>
    </row>
    <row r="8" spans="1:4" ht="15.5" x14ac:dyDescent="0.35">
      <c r="A8" s="1">
        <v>7</v>
      </c>
      <c r="B8" s="1">
        <f>'Вариант 1'!B8+0.2</f>
        <v>12.2</v>
      </c>
      <c r="C8" s="1">
        <f>'Вариант 1'!C8+0.2</f>
        <v>0.92999999999999994</v>
      </c>
      <c r="D8" s="1">
        <f>'Вариант 1'!D8+0.2</f>
        <v>0.47000000000000003</v>
      </c>
    </row>
    <row r="9" spans="1:4" ht="15.5" x14ac:dyDescent="0.35">
      <c r="A9" s="1">
        <v>8</v>
      </c>
      <c r="B9" s="1">
        <f>'Вариант 1'!B9+0.2</f>
        <v>10.399999999999999</v>
      </c>
      <c r="C9" s="1">
        <f>'Вариант 1'!C9+0.2</f>
        <v>1.54</v>
      </c>
      <c r="D9" s="1">
        <f>'Вариант 1'!D9+0.2</f>
        <v>0.47000000000000003</v>
      </c>
    </row>
    <row r="10" spans="1:4" ht="15.5" x14ac:dyDescent="0.35">
      <c r="A10" s="1">
        <v>9</v>
      </c>
      <c r="B10" s="1">
        <f>'Вариант 1'!B10+0.2</f>
        <v>9.8699999999999992</v>
      </c>
      <c r="C10" s="1">
        <f>'Вариант 1'!C10+0.2</f>
        <v>1.26</v>
      </c>
      <c r="D10" s="1">
        <f>'Вариант 1'!D10+0.2</f>
        <v>0.48000000000000004</v>
      </c>
    </row>
    <row r="11" spans="1:4" ht="15.5" x14ac:dyDescent="0.35">
      <c r="A11" s="1">
        <v>10</v>
      </c>
      <c r="B11" s="1">
        <f>'Вариант 1'!B11+0.2</f>
        <v>9.75</v>
      </c>
      <c r="C11" s="1">
        <f>'Вариант 1'!C11+0.2</f>
        <v>1.5799999999999998</v>
      </c>
      <c r="D11" s="1">
        <f>'Вариант 1'!D11+0.2</f>
        <v>0.46</v>
      </c>
    </row>
    <row r="12" spans="1:4" ht="15.5" x14ac:dyDescent="0.35">
      <c r="A12" s="1">
        <v>11</v>
      </c>
      <c r="B12" s="1">
        <f>'Вариант 1'!B12+0.2</f>
        <v>10.5</v>
      </c>
      <c r="C12" s="1">
        <f>'Вариант 1'!C12+0.2</f>
        <v>1.1499999999999999</v>
      </c>
      <c r="D12" s="1">
        <f>'Вариант 1'!D12+0.2</f>
        <v>0.43000000000000005</v>
      </c>
    </row>
    <row r="13" spans="1:4" ht="15.5" x14ac:dyDescent="0.35">
      <c r="A13" s="1">
        <v>12</v>
      </c>
      <c r="B13" s="1">
        <f>'Вариант 1'!B13+0.2</f>
        <v>11.799999999999999</v>
      </c>
      <c r="C13" s="1">
        <f>'Вариант 1'!C13+0.2</f>
        <v>1.06</v>
      </c>
      <c r="D13" s="1">
        <f>'Вариант 1'!D13+0.2</f>
        <v>0.48000000000000004</v>
      </c>
    </row>
    <row r="14" spans="1:4" ht="15.5" x14ac:dyDescent="0.35">
      <c r="A14" s="1">
        <v>13</v>
      </c>
      <c r="B14" s="1">
        <f>'Вариант 1'!B14+0.2</f>
        <v>12.6</v>
      </c>
      <c r="C14" s="1">
        <f>'Вариант 1'!C14+0.2</f>
        <v>1.17</v>
      </c>
      <c r="D14" s="1">
        <f>'Вариант 1'!D14+0.2</f>
        <v>0.47000000000000003</v>
      </c>
    </row>
    <row r="15" spans="1:4" ht="15.5" x14ac:dyDescent="0.35">
      <c r="A15" s="1">
        <v>14</v>
      </c>
      <c r="B15" s="1">
        <f>'Вариант 1'!B15+0.2</f>
        <v>11.5</v>
      </c>
      <c r="C15" s="1">
        <f>'Вариант 1'!C15+0.2</f>
        <v>1.26</v>
      </c>
      <c r="D15" s="1">
        <f>'Вариант 1'!D15+0.2</f>
        <v>0.46</v>
      </c>
    </row>
    <row r="16" spans="1:4" ht="15.5" x14ac:dyDescent="0.35">
      <c r="A16" s="1"/>
      <c r="B16" s="1"/>
      <c r="C16" s="1"/>
      <c r="D16" s="1"/>
    </row>
    <row r="17" spans="1:4" ht="15.5" x14ac:dyDescent="0.35">
      <c r="A17" s="1"/>
      <c r="B17" s="1"/>
      <c r="C17" s="1"/>
      <c r="D17" s="1"/>
    </row>
    <row r="18" spans="1:4" ht="15.5" x14ac:dyDescent="0.35">
      <c r="A18" s="1"/>
      <c r="B18" s="1"/>
      <c r="C18" s="1"/>
      <c r="D18" s="1"/>
    </row>
    <row r="19" spans="1:4" ht="15.5" x14ac:dyDescent="0.35">
      <c r="A19" s="1"/>
      <c r="B19" s="1"/>
      <c r="C19" s="1"/>
      <c r="D19" s="1"/>
    </row>
    <row r="20" spans="1:4" ht="15.5" x14ac:dyDescent="0.35">
      <c r="A20" s="1"/>
      <c r="B20" s="1"/>
      <c r="C20" s="1"/>
      <c r="D20" s="1"/>
    </row>
    <row r="21" spans="1:4" ht="15.5" x14ac:dyDescent="0.35">
      <c r="A21" s="1"/>
      <c r="B21" s="1"/>
      <c r="C21" s="1"/>
      <c r="D21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B1" sqref="B1:D1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1'!B2+0.3</f>
        <v>10</v>
      </c>
      <c r="C2" s="1">
        <f>'Вариант 1'!C2+0.3</f>
        <v>1.8900000000000001</v>
      </c>
      <c r="D2" s="1">
        <f>'Вариант 1'!D2+0.3</f>
        <v>0.55000000000000004</v>
      </c>
    </row>
    <row r="3" spans="1:4" ht="15.5" x14ac:dyDescent="0.35">
      <c r="A3" s="1">
        <v>2</v>
      </c>
      <c r="B3" s="1">
        <f>'Вариант 1'!B3+0.3</f>
        <v>10.25</v>
      </c>
      <c r="C3" s="1">
        <f>'Вариант 1'!C3+0.3</f>
        <v>1.56</v>
      </c>
      <c r="D3" s="1">
        <f>'Вариант 1'!D3+0.3</f>
        <v>0.56000000000000005</v>
      </c>
    </row>
    <row r="4" spans="1:4" ht="15.5" x14ac:dyDescent="0.35">
      <c r="A4" s="1">
        <v>3</v>
      </c>
      <c r="B4" s="1">
        <f>'Вариант 1'!B4+0.3</f>
        <v>8.7000000000000011</v>
      </c>
      <c r="C4" s="1">
        <f>'Вариант 1'!C4+0.3</f>
        <v>1.18</v>
      </c>
      <c r="D4" s="1">
        <f>'Вариант 1'!D4+0.3</f>
        <v>0.59</v>
      </c>
    </row>
    <row r="5" spans="1:4" ht="15.5" x14ac:dyDescent="0.35">
      <c r="A5" s="1">
        <v>4</v>
      </c>
      <c r="B5" s="1">
        <f>'Вариант 1'!B5+0.3</f>
        <v>9.08</v>
      </c>
      <c r="C5" s="1">
        <f>'Вариант 1'!C5+0.3</f>
        <v>1.43</v>
      </c>
      <c r="D5" s="1">
        <f>'Вариант 1'!D5+0.3</f>
        <v>0.57000000000000006</v>
      </c>
    </row>
    <row r="6" spans="1:4" ht="15.5" x14ac:dyDescent="0.35">
      <c r="A6" s="1">
        <v>5</v>
      </c>
      <c r="B6" s="1">
        <f>'Вариант 1'!B6+0.3</f>
        <v>10.8</v>
      </c>
      <c r="C6" s="1">
        <f>'Вариант 1'!C6+0.3</f>
        <v>0.94</v>
      </c>
      <c r="D6" s="1">
        <f>'Вариант 1'!D6+0.3</f>
        <v>0.54</v>
      </c>
    </row>
    <row r="7" spans="1:4" ht="15.5" x14ac:dyDescent="0.35">
      <c r="A7" s="1">
        <v>6</v>
      </c>
      <c r="B7" s="1">
        <f>'Вариант 1'!B7+0.3</f>
        <v>11.5</v>
      </c>
      <c r="C7" s="1">
        <f>'Вариант 1'!C7+0.3</f>
        <v>0.8899999999999999</v>
      </c>
      <c r="D7" s="1">
        <f>'Вариант 1'!D7+0.3</f>
        <v>0.61</v>
      </c>
    </row>
    <row r="8" spans="1:4" ht="15.5" x14ac:dyDescent="0.35">
      <c r="A8" s="1">
        <v>7</v>
      </c>
      <c r="B8" s="1">
        <f>'Вариант 1'!B8+0.3</f>
        <v>12.3</v>
      </c>
      <c r="C8" s="1">
        <f>'Вариант 1'!C8+0.3</f>
        <v>1.03</v>
      </c>
      <c r="D8" s="1">
        <f>'Вариант 1'!D8+0.3</f>
        <v>0.57000000000000006</v>
      </c>
    </row>
    <row r="9" spans="1:4" ht="15.5" x14ac:dyDescent="0.35">
      <c r="A9" s="1">
        <v>8</v>
      </c>
      <c r="B9" s="1">
        <f>'Вариант 1'!B9+0.3</f>
        <v>10.5</v>
      </c>
      <c r="C9" s="1">
        <f>'Вариант 1'!C9+0.3</f>
        <v>1.6400000000000001</v>
      </c>
      <c r="D9" s="1">
        <f>'Вариант 1'!D9+0.3</f>
        <v>0.57000000000000006</v>
      </c>
    </row>
    <row r="10" spans="1:4" ht="15.5" x14ac:dyDescent="0.35">
      <c r="A10" s="1">
        <v>9</v>
      </c>
      <c r="B10" s="1">
        <f>'Вариант 1'!B10+0.3</f>
        <v>9.9700000000000006</v>
      </c>
      <c r="C10" s="1">
        <f>'Вариант 1'!C10+0.3</f>
        <v>1.36</v>
      </c>
      <c r="D10" s="1">
        <f>'Вариант 1'!D10+0.3</f>
        <v>0.58000000000000007</v>
      </c>
    </row>
    <row r="11" spans="1:4" ht="15.5" x14ac:dyDescent="0.35">
      <c r="A11" s="1">
        <v>10</v>
      </c>
      <c r="B11" s="1">
        <f>'Вариант 1'!B11+0.3</f>
        <v>9.8500000000000014</v>
      </c>
      <c r="C11" s="1">
        <f>'Вариант 1'!C11+0.3</f>
        <v>1.68</v>
      </c>
      <c r="D11" s="1">
        <f>'Вариант 1'!D11+0.3</f>
        <v>0.56000000000000005</v>
      </c>
    </row>
    <row r="12" spans="1:4" ht="15.5" x14ac:dyDescent="0.35">
      <c r="A12" s="1">
        <v>11</v>
      </c>
      <c r="B12" s="1">
        <f>'Вариант 1'!B12+0.3</f>
        <v>10.600000000000001</v>
      </c>
      <c r="C12" s="1">
        <f>'Вариант 1'!C12+0.3</f>
        <v>1.25</v>
      </c>
      <c r="D12" s="1">
        <f>'Вариант 1'!D12+0.3</f>
        <v>0.53</v>
      </c>
    </row>
    <row r="13" spans="1:4" ht="15.5" x14ac:dyDescent="0.35">
      <c r="A13" s="1">
        <v>12</v>
      </c>
      <c r="B13" s="1">
        <f>'Вариант 1'!B13+0.3</f>
        <v>11.9</v>
      </c>
      <c r="C13" s="1">
        <f>'Вариант 1'!C13+0.3</f>
        <v>1.1599999999999999</v>
      </c>
      <c r="D13" s="1">
        <f>'Вариант 1'!D13+0.3</f>
        <v>0.58000000000000007</v>
      </c>
    </row>
    <row r="14" spans="1:4" ht="15.5" x14ac:dyDescent="0.35">
      <c r="A14" s="1">
        <v>13</v>
      </c>
      <c r="B14" s="1">
        <f>'Вариант 1'!B14+0.3</f>
        <v>12.700000000000001</v>
      </c>
      <c r="C14" s="1">
        <f>'Вариант 1'!C14+0.3</f>
        <v>1.27</v>
      </c>
      <c r="D14" s="1">
        <f>'Вариант 1'!D14+0.3</f>
        <v>0.57000000000000006</v>
      </c>
    </row>
    <row r="15" spans="1:4" ht="15.5" x14ac:dyDescent="0.35">
      <c r="A15" s="1">
        <v>14</v>
      </c>
      <c r="B15" s="1">
        <f>'Вариант 1'!B15+0.3</f>
        <v>11.600000000000001</v>
      </c>
      <c r="C15" s="1">
        <f>'Вариант 1'!C15+0.3</f>
        <v>1.36</v>
      </c>
      <c r="D15" s="1">
        <f>'Вариант 1'!D15+0.3</f>
        <v>0.56000000000000005</v>
      </c>
    </row>
    <row r="16" spans="1:4" ht="15.5" x14ac:dyDescent="0.35">
      <c r="A16" s="1"/>
      <c r="B16" s="1"/>
      <c r="C16" s="1"/>
      <c r="D16" s="1"/>
    </row>
    <row r="17" spans="1:4" ht="15.5" x14ac:dyDescent="0.35">
      <c r="A17" s="1"/>
      <c r="B17" s="1"/>
      <c r="C17" s="1"/>
      <c r="D17" s="1"/>
    </row>
    <row r="18" spans="1:4" ht="15.5" x14ac:dyDescent="0.35">
      <c r="A18" s="1"/>
      <c r="B18" s="1"/>
      <c r="C18" s="1"/>
      <c r="D18" s="1"/>
    </row>
    <row r="19" spans="1:4" ht="15.5" x14ac:dyDescent="0.35">
      <c r="A19" s="1"/>
      <c r="B19" s="1"/>
      <c r="C19" s="1"/>
      <c r="D19" s="1"/>
    </row>
    <row r="20" spans="1:4" ht="15.5" x14ac:dyDescent="0.35">
      <c r="A20" s="1"/>
      <c r="B20" s="1"/>
      <c r="C20" s="1"/>
      <c r="D20" s="1"/>
    </row>
    <row r="21" spans="1:4" ht="15.5" x14ac:dyDescent="0.35">
      <c r="A21" s="1"/>
      <c r="B21" s="1"/>
      <c r="C21" s="1"/>
      <c r="D21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selection activeCell="D24" sqref="D24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1'!B2+0.4</f>
        <v>10.1</v>
      </c>
      <c r="C2" s="1">
        <f>'Вариант 1'!C2+0.4</f>
        <v>1.9900000000000002</v>
      </c>
      <c r="D2" s="1">
        <f>'Вариант 1'!D2+0.4</f>
        <v>0.65</v>
      </c>
    </row>
    <row r="3" spans="1:4" ht="15.5" x14ac:dyDescent="0.35">
      <c r="A3" s="1">
        <v>2</v>
      </c>
      <c r="B3" s="1">
        <f>'Вариант 1'!B3+0.4</f>
        <v>10.35</v>
      </c>
      <c r="C3" s="1">
        <f>'Вариант 1'!C3+0.4</f>
        <v>1.6600000000000001</v>
      </c>
      <c r="D3" s="1">
        <f>'Вариант 1'!D3+0.4</f>
        <v>0.66</v>
      </c>
    </row>
    <row r="4" spans="1:4" ht="15.5" x14ac:dyDescent="0.35">
      <c r="A4" s="1">
        <v>3</v>
      </c>
      <c r="B4" s="1">
        <f>'Вариант 1'!B4+0.4</f>
        <v>8.8000000000000007</v>
      </c>
      <c r="C4" s="1">
        <f>'Вариант 1'!C4+0.4</f>
        <v>1.28</v>
      </c>
      <c r="D4" s="1">
        <f>'Вариант 1'!D4+0.4</f>
        <v>0.69</v>
      </c>
    </row>
    <row r="5" spans="1:4" ht="15.5" x14ac:dyDescent="0.35">
      <c r="A5" s="1">
        <v>4</v>
      </c>
      <c r="B5" s="1">
        <f>'Вариант 1'!B5+0.4</f>
        <v>9.18</v>
      </c>
      <c r="C5" s="1">
        <f>'Вариант 1'!C5+0.4</f>
        <v>1.5299999999999998</v>
      </c>
      <c r="D5" s="1">
        <f>'Вариант 1'!D5+0.4</f>
        <v>0.67</v>
      </c>
    </row>
    <row r="6" spans="1:4" ht="15.5" x14ac:dyDescent="0.35">
      <c r="A6" s="1">
        <v>5</v>
      </c>
      <c r="B6" s="1">
        <f>'Вариант 1'!B6+0.4</f>
        <v>10.9</v>
      </c>
      <c r="C6" s="1">
        <f>'Вариант 1'!C6+0.4</f>
        <v>1.04</v>
      </c>
      <c r="D6" s="1">
        <f>'Вариант 1'!D6+0.4</f>
        <v>0.64</v>
      </c>
    </row>
    <row r="7" spans="1:4" ht="15.5" x14ac:dyDescent="0.35">
      <c r="A7" s="1">
        <v>6</v>
      </c>
      <c r="B7" s="1">
        <f>'Вариант 1'!B7+0.4</f>
        <v>11.6</v>
      </c>
      <c r="C7" s="1">
        <f>'Вариант 1'!C7+0.4</f>
        <v>0.99</v>
      </c>
      <c r="D7" s="1">
        <f>'Вариант 1'!D7+0.4</f>
        <v>0.71</v>
      </c>
    </row>
    <row r="8" spans="1:4" ht="15.5" x14ac:dyDescent="0.35">
      <c r="A8" s="1">
        <v>7</v>
      </c>
      <c r="B8" s="1">
        <f>'Вариант 1'!B8+0.4</f>
        <v>12.4</v>
      </c>
      <c r="C8" s="1">
        <f>'Вариант 1'!C8+0.4</f>
        <v>1.1299999999999999</v>
      </c>
      <c r="D8" s="1">
        <f>'Вариант 1'!D8+0.4</f>
        <v>0.67</v>
      </c>
    </row>
    <row r="9" spans="1:4" ht="15.5" x14ac:dyDescent="0.35">
      <c r="A9" s="1">
        <v>8</v>
      </c>
      <c r="B9" s="1">
        <f>'Вариант 1'!B9+0.4</f>
        <v>10.6</v>
      </c>
      <c r="C9" s="1">
        <f>'Вариант 1'!C9+0.4</f>
        <v>1.7400000000000002</v>
      </c>
      <c r="D9" s="1">
        <f>'Вариант 1'!D9+0.4</f>
        <v>0.67</v>
      </c>
    </row>
    <row r="10" spans="1:4" ht="15.5" x14ac:dyDescent="0.35">
      <c r="A10" s="1">
        <v>9</v>
      </c>
      <c r="B10" s="1">
        <f>'Вариант 1'!B10+0.4</f>
        <v>10.07</v>
      </c>
      <c r="C10" s="1">
        <f>'Вариант 1'!C10+0.4</f>
        <v>1.46</v>
      </c>
      <c r="D10" s="1">
        <f>'Вариант 1'!D10+0.4</f>
        <v>0.68</v>
      </c>
    </row>
    <row r="11" spans="1:4" ht="15.5" x14ac:dyDescent="0.35">
      <c r="A11" s="1">
        <v>10</v>
      </c>
      <c r="B11" s="1">
        <f>'Вариант 1'!B11+0.4</f>
        <v>9.9500000000000011</v>
      </c>
      <c r="C11" s="1">
        <f>'Вариант 1'!C11+0.4</f>
        <v>1.7799999999999998</v>
      </c>
      <c r="D11" s="1">
        <f>'Вариант 1'!D11+0.4</f>
        <v>0.66</v>
      </c>
    </row>
    <row r="12" spans="1:4" ht="15.5" x14ac:dyDescent="0.35">
      <c r="A12" s="1">
        <v>11</v>
      </c>
      <c r="B12" s="1">
        <f>'Вариант 1'!B12+0.4</f>
        <v>10.700000000000001</v>
      </c>
      <c r="C12" s="1">
        <f>'Вариант 1'!C12+0.4</f>
        <v>1.35</v>
      </c>
      <c r="D12" s="1">
        <f>'Вариант 1'!D12+0.4</f>
        <v>0.63</v>
      </c>
    </row>
    <row r="13" spans="1:4" ht="15.5" x14ac:dyDescent="0.35">
      <c r="A13" s="1">
        <v>12</v>
      </c>
      <c r="B13" s="1">
        <f>'Вариант 1'!B13+0.4</f>
        <v>12</v>
      </c>
      <c r="C13" s="1">
        <f>'Вариант 1'!C13+0.4</f>
        <v>1.26</v>
      </c>
      <c r="D13" s="1">
        <f>'Вариант 1'!D13+0.4</f>
        <v>0.68</v>
      </c>
    </row>
    <row r="14" spans="1:4" ht="15.5" x14ac:dyDescent="0.35">
      <c r="A14" s="1">
        <v>13</v>
      </c>
      <c r="B14" s="1">
        <f>'Вариант 1'!B14+0.4</f>
        <v>12.8</v>
      </c>
      <c r="C14" s="1">
        <f>'Вариант 1'!C14+0.4</f>
        <v>1.37</v>
      </c>
      <c r="D14" s="1">
        <f>'Вариант 1'!D14+0.4</f>
        <v>0.67</v>
      </c>
    </row>
    <row r="15" spans="1:4" ht="15.5" x14ac:dyDescent="0.35">
      <c r="A15" s="1">
        <v>14</v>
      </c>
      <c r="B15" s="1">
        <f>'Вариант 1'!B15+0.4</f>
        <v>11.700000000000001</v>
      </c>
      <c r="C15" s="1">
        <f>'Вариант 1'!C15+0.4</f>
        <v>1.46</v>
      </c>
      <c r="D15" s="1">
        <f>'Вариант 1'!D15+0.4</f>
        <v>0.66</v>
      </c>
    </row>
    <row r="16" spans="1:4" ht="15.5" x14ac:dyDescent="0.35">
      <c r="A16" s="1"/>
      <c r="B16" s="1"/>
      <c r="C16" s="1"/>
      <c r="D16" s="1"/>
    </row>
    <row r="17" spans="1:4" ht="15.5" x14ac:dyDescent="0.35">
      <c r="A17" s="1"/>
      <c r="B17" s="1"/>
      <c r="C17" s="1"/>
      <c r="D17" s="1"/>
    </row>
    <row r="18" spans="1:4" ht="15.5" x14ac:dyDescent="0.35">
      <c r="A18" s="1"/>
      <c r="B18" s="1"/>
      <c r="C18" s="1"/>
      <c r="D18" s="1"/>
    </row>
    <row r="19" spans="1:4" ht="15.5" x14ac:dyDescent="0.35">
      <c r="A19" s="1"/>
      <c r="B19" s="1"/>
      <c r="C19" s="1"/>
      <c r="D19" s="1"/>
    </row>
    <row r="20" spans="1:4" ht="15.5" x14ac:dyDescent="0.35">
      <c r="A20" s="1"/>
      <c r="B20" s="1"/>
      <c r="C20" s="1"/>
      <c r="D20" s="1"/>
    </row>
    <row r="21" spans="1:4" ht="15.5" x14ac:dyDescent="0.35">
      <c r="A21" s="1"/>
      <c r="B21" s="1"/>
      <c r="C21" s="1"/>
      <c r="D21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activeCell="B1" sqref="B1:D1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1'!B2+0.5</f>
        <v>10.199999999999999</v>
      </c>
      <c r="C2" s="1">
        <f>'Вариант 1'!C2+0.5</f>
        <v>2.09</v>
      </c>
      <c r="D2" s="1">
        <f>'Вариант 1'!D2+0.5</f>
        <v>0.75</v>
      </c>
    </row>
    <row r="3" spans="1:4" ht="15.5" x14ac:dyDescent="0.35">
      <c r="A3" s="1">
        <v>2</v>
      </c>
      <c r="B3" s="1">
        <f>'Вариант 1'!B3+0.5</f>
        <v>10.45</v>
      </c>
      <c r="C3" s="1">
        <f>'Вариант 1'!C3+0.5</f>
        <v>1.76</v>
      </c>
      <c r="D3" s="1">
        <f>'Вариант 1'!D3+0.5</f>
        <v>0.76</v>
      </c>
    </row>
    <row r="4" spans="1:4" ht="15.5" x14ac:dyDescent="0.35">
      <c r="A4" s="1">
        <v>3</v>
      </c>
      <c r="B4" s="1">
        <f>'Вариант 1'!B4+0.5</f>
        <v>8.9</v>
      </c>
      <c r="C4" s="1">
        <f>'Вариант 1'!C4+0.5</f>
        <v>1.38</v>
      </c>
      <c r="D4" s="1">
        <f>'Вариант 1'!D4+0.5</f>
        <v>0.79</v>
      </c>
    </row>
    <row r="5" spans="1:4" ht="15.5" x14ac:dyDescent="0.35">
      <c r="A5" s="1">
        <v>4</v>
      </c>
      <c r="B5" s="1">
        <f>'Вариант 1'!B5+0.5</f>
        <v>9.2799999999999994</v>
      </c>
      <c r="C5" s="1">
        <f>'Вариант 1'!C5+0.5</f>
        <v>1.63</v>
      </c>
      <c r="D5" s="1">
        <f>'Вариант 1'!D5+0.5</f>
        <v>0.77</v>
      </c>
    </row>
    <row r="6" spans="1:4" ht="15.5" x14ac:dyDescent="0.35">
      <c r="A6" s="1">
        <v>5</v>
      </c>
      <c r="B6" s="1">
        <f>'Вариант 1'!B6+0.5</f>
        <v>11</v>
      </c>
      <c r="C6" s="1">
        <f>'Вариант 1'!C6+0.5</f>
        <v>1.1400000000000001</v>
      </c>
      <c r="D6" s="1">
        <f>'Вариант 1'!D6+0.5</f>
        <v>0.74</v>
      </c>
    </row>
    <row r="7" spans="1:4" ht="15.5" x14ac:dyDescent="0.35">
      <c r="A7" s="1">
        <v>6</v>
      </c>
      <c r="B7" s="1">
        <f>'Вариант 1'!B7+0.5</f>
        <v>11.7</v>
      </c>
      <c r="C7" s="1">
        <f>'Вариант 1'!C7+0.5</f>
        <v>1.0899999999999999</v>
      </c>
      <c r="D7" s="1">
        <f>'Вариант 1'!D7+0.5</f>
        <v>0.81</v>
      </c>
    </row>
    <row r="8" spans="1:4" ht="15.5" x14ac:dyDescent="0.35">
      <c r="A8" s="1">
        <v>7</v>
      </c>
      <c r="B8" s="1">
        <f>'Вариант 1'!B8+0.5</f>
        <v>12.5</v>
      </c>
      <c r="C8" s="1">
        <f>'Вариант 1'!C8+0.5</f>
        <v>1.23</v>
      </c>
      <c r="D8" s="1">
        <f>'Вариант 1'!D8+0.5</f>
        <v>0.77</v>
      </c>
    </row>
    <row r="9" spans="1:4" ht="15.5" x14ac:dyDescent="0.35">
      <c r="A9" s="1">
        <v>8</v>
      </c>
      <c r="B9" s="1">
        <f>'Вариант 1'!B9+0.5</f>
        <v>10.7</v>
      </c>
      <c r="C9" s="1">
        <f>'Вариант 1'!C9+0.5</f>
        <v>1.84</v>
      </c>
      <c r="D9" s="1">
        <f>'Вариант 1'!D9+0.5</f>
        <v>0.77</v>
      </c>
    </row>
    <row r="10" spans="1:4" ht="15.5" x14ac:dyDescent="0.35">
      <c r="A10" s="1">
        <v>9</v>
      </c>
      <c r="B10" s="1">
        <f>'Вариант 1'!B10+0.5</f>
        <v>10.17</v>
      </c>
      <c r="C10" s="1">
        <f>'Вариант 1'!C10+0.5</f>
        <v>1.56</v>
      </c>
      <c r="D10" s="1">
        <f>'Вариант 1'!D10+0.5</f>
        <v>0.78</v>
      </c>
    </row>
    <row r="11" spans="1:4" ht="15.5" x14ac:dyDescent="0.35">
      <c r="A11" s="1">
        <v>10</v>
      </c>
      <c r="B11" s="1">
        <f>'Вариант 1'!B11+0.5</f>
        <v>10.050000000000001</v>
      </c>
      <c r="C11" s="1">
        <f>'Вариант 1'!C11+0.5</f>
        <v>1.88</v>
      </c>
      <c r="D11" s="1">
        <f>'Вариант 1'!D11+0.5</f>
        <v>0.76</v>
      </c>
    </row>
    <row r="12" spans="1:4" ht="15.5" x14ac:dyDescent="0.35">
      <c r="A12" s="1">
        <v>11</v>
      </c>
      <c r="B12" s="1">
        <f>'Вариант 1'!B12+0.5</f>
        <v>10.8</v>
      </c>
      <c r="C12" s="1">
        <f>'Вариант 1'!C12+0.5</f>
        <v>1.45</v>
      </c>
      <c r="D12" s="1">
        <f>'Вариант 1'!D12+0.5</f>
        <v>0.73</v>
      </c>
    </row>
    <row r="13" spans="1:4" ht="15.5" x14ac:dyDescent="0.35">
      <c r="A13" s="1">
        <v>12</v>
      </c>
      <c r="B13" s="1">
        <f>'Вариант 1'!B13+0.5</f>
        <v>12.1</v>
      </c>
      <c r="C13" s="1">
        <f>'Вариант 1'!C13+0.5</f>
        <v>1.3599999999999999</v>
      </c>
      <c r="D13" s="1">
        <f>'Вариант 1'!D13+0.5</f>
        <v>0.78</v>
      </c>
    </row>
    <row r="14" spans="1:4" ht="15.5" x14ac:dyDescent="0.35">
      <c r="A14" s="1">
        <v>13</v>
      </c>
      <c r="B14" s="1">
        <f>'Вариант 1'!B14+0.5</f>
        <v>12.9</v>
      </c>
      <c r="C14" s="1">
        <f>'Вариант 1'!C14+0.5</f>
        <v>1.47</v>
      </c>
      <c r="D14" s="1">
        <f>'Вариант 1'!D14+0.5</f>
        <v>0.77</v>
      </c>
    </row>
    <row r="15" spans="1:4" ht="15.5" x14ac:dyDescent="0.35">
      <c r="A15" s="1">
        <v>14</v>
      </c>
      <c r="B15" s="1">
        <f>'Вариант 1'!B15+0.5</f>
        <v>11.8</v>
      </c>
      <c r="C15" s="1">
        <f>'Вариант 1'!C15+0.5</f>
        <v>1.56</v>
      </c>
      <c r="D15" s="1">
        <f>'Вариант 1'!D15+0.5</f>
        <v>0.76</v>
      </c>
    </row>
    <row r="16" spans="1:4" ht="15.5" x14ac:dyDescent="0.35">
      <c r="A16" s="1"/>
      <c r="B16" s="1"/>
      <c r="C16" s="1"/>
      <c r="D16" s="1"/>
    </row>
    <row r="17" spans="1:4" ht="15.5" x14ac:dyDescent="0.35">
      <c r="A17" s="1"/>
      <c r="B17" s="1"/>
      <c r="C17" s="1"/>
      <c r="D17" s="1"/>
    </row>
    <row r="18" spans="1:4" ht="15.5" x14ac:dyDescent="0.35">
      <c r="A18" s="1"/>
      <c r="B18" s="1"/>
      <c r="C18" s="1"/>
      <c r="D18" s="1"/>
    </row>
    <row r="19" spans="1:4" ht="15.5" x14ac:dyDescent="0.35">
      <c r="A19" s="1"/>
      <c r="B19" s="1"/>
      <c r="C19" s="1"/>
      <c r="D19" s="1"/>
    </row>
    <row r="20" spans="1:4" ht="15.5" x14ac:dyDescent="0.35">
      <c r="A20" s="1"/>
      <c r="B20" s="1"/>
      <c r="C20" s="1"/>
      <c r="D20" s="1"/>
    </row>
    <row r="21" spans="1:4" ht="15.5" x14ac:dyDescent="0.35">
      <c r="A21" s="1"/>
      <c r="B21" s="1"/>
      <c r="C21" s="1"/>
      <c r="D21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>
      <selection activeCell="B1" sqref="B1:D1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1'!B2+0.6</f>
        <v>10.299999999999999</v>
      </c>
      <c r="C2" s="1">
        <f>'Вариант 1'!C2+0.6</f>
        <v>2.19</v>
      </c>
      <c r="D2" s="1">
        <f>'Вариант 1'!D2+0.6</f>
        <v>0.85</v>
      </c>
    </row>
    <row r="3" spans="1:4" ht="15.5" x14ac:dyDescent="0.35">
      <c r="A3" s="1">
        <v>2</v>
      </c>
      <c r="B3" s="1">
        <f>'Вариант 1'!B3+0.6</f>
        <v>10.549999999999999</v>
      </c>
      <c r="C3" s="1">
        <f>'Вариант 1'!C3+0.6</f>
        <v>1.8599999999999999</v>
      </c>
      <c r="D3" s="1">
        <f>'Вариант 1'!D3+0.6</f>
        <v>0.86</v>
      </c>
    </row>
    <row r="4" spans="1:4" ht="15.5" x14ac:dyDescent="0.35">
      <c r="A4" s="1">
        <v>3</v>
      </c>
      <c r="B4" s="1">
        <f>'Вариант 1'!B4+0.6</f>
        <v>9</v>
      </c>
      <c r="C4" s="1">
        <f>'Вариант 1'!C4+0.6</f>
        <v>1.48</v>
      </c>
      <c r="D4" s="1">
        <f>'Вариант 1'!D4+0.6</f>
        <v>0.8899999999999999</v>
      </c>
    </row>
    <row r="5" spans="1:4" ht="15.5" x14ac:dyDescent="0.35">
      <c r="A5" s="1">
        <v>4</v>
      </c>
      <c r="B5" s="1">
        <f>'Вариант 1'!B5+0.6</f>
        <v>9.379999999999999</v>
      </c>
      <c r="C5" s="1">
        <f>'Вариант 1'!C5+0.6</f>
        <v>1.73</v>
      </c>
      <c r="D5" s="1">
        <f>'Вариант 1'!D5+0.6</f>
        <v>0.87</v>
      </c>
    </row>
    <row r="6" spans="1:4" ht="15.5" x14ac:dyDescent="0.35">
      <c r="A6" s="1">
        <v>5</v>
      </c>
      <c r="B6" s="1">
        <f>'Вариант 1'!B6+0.6</f>
        <v>11.1</v>
      </c>
      <c r="C6" s="1">
        <f>'Вариант 1'!C6+0.6</f>
        <v>1.24</v>
      </c>
      <c r="D6" s="1">
        <f>'Вариант 1'!D6+0.6</f>
        <v>0.84</v>
      </c>
    </row>
    <row r="7" spans="1:4" ht="15.5" x14ac:dyDescent="0.35">
      <c r="A7" s="1">
        <v>6</v>
      </c>
      <c r="B7" s="1">
        <f>'Вариант 1'!B7+0.6</f>
        <v>11.799999999999999</v>
      </c>
      <c r="C7" s="1">
        <f>'Вариант 1'!C7+0.6</f>
        <v>1.19</v>
      </c>
      <c r="D7" s="1">
        <f>'Вариант 1'!D7+0.6</f>
        <v>0.90999999999999992</v>
      </c>
    </row>
    <row r="8" spans="1:4" ht="15.5" x14ac:dyDescent="0.35">
      <c r="A8" s="1">
        <v>7</v>
      </c>
      <c r="B8" s="1">
        <f>'Вариант 1'!B8+0.6</f>
        <v>12.6</v>
      </c>
      <c r="C8" s="1">
        <f>'Вариант 1'!C8+0.6</f>
        <v>1.33</v>
      </c>
      <c r="D8" s="1">
        <f>'Вариант 1'!D8+0.6</f>
        <v>0.87</v>
      </c>
    </row>
    <row r="9" spans="1:4" ht="15.5" x14ac:dyDescent="0.35">
      <c r="A9" s="1">
        <v>8</v>
      </c>
      <c r="B9" s="1">
        <f>'Вариант 1'!B9+0.6</f>
        <v>10.799999999999999</v>
      </c>
      <c r="C9" s="1">
        <f>'Вариант 1'!C9+0.6</f>
        <v>1.94</v>
      </c>
      <c r="D9" s="1">
        <f>'Вариант 1'!D9+0.6</f>
        <v>0.87</v>
      </c>
    </row>
    <row r="10" spans="1:4" ht="15.5" x14ac:dyDescent="0.35">
      <c r="A10" s="1">
        <v>9</v>
      </c>
      <c r="B10" s="1">
        <f>'Вариант 1'!B10+0.6</f>
        <v>10.27</v>
      </c>
      <c r="C10" s="1">
        <f>'Вариант 1'!C10+0.6</f>
        <v>1.6600000000000001</v>
      </c>
      <c r="D10" s="1">
        <f>'Вариант 1'!D10+0.6</f>
        <v>0.88</v>
      </c>
    </row>
    <row r="11" spans="1:4" ht="15.5" x14ac:dyDescent="0.35">
      <c r="A11" s="1">
        <v>10</v>
      </c>
      <c r="B11" s="1">
        <f>'Вариант 1'!B11+0.6</f>
        <v>10.15</v>
      </c>
      <c r="C11" s="1">
        <f>'Вариант 1'!C11+0.6</f>
        <v>1.98</v>
      </c>
      <c r="D11" s="1">
        <f>'Вариант 1'!D11+0.6</f>
        <v>0.86</v>
      </c>
    </row>
    <row r="12" spans="1:4" ht="15.5" x14ac:dyDescent="0.35">
      <c r="A12" s="1">
        <v>11</v>
      </c>
      <c r="B12" s="1">
        <f>'Вариант 1'!B12+0.6</f>
        <v>10.9</v>
      </c>
      <c r="C12" s="1">
        <f>'Вариант 1'!C12+0.6</f>
        <v>1.5499999999999998</v>
      </c>
      <c r="D12" s="1">
        <f>'Вариант 1'!D12+0.6</f>
        <v>0.83</v>
      </c>
    </row>
    <row r="13" spans="1:4" ht="15.5" x14ac:dyDescent="0.35">
      <c r="A13" s="1">
        <v>12</v>
      </c>
      <c r="B13" s="1">
        <f>'Вариант 1'!B13+0.6</f>
        <v>12.2</v>
      </c>
      <c r="C13" s="1">
        <f>'Вариант 1'!C13+0.6</f>
        <v>1.46</v>
      </c>
      <c r="D13" s="1">
        <f>'Вариант 1'!D13+0.6</f>
        <v>0.88</v>
      </c>
    </row>
    <row r="14" spans="1:4" ht="15.5" x14ac:dyDescent="0.35">
      <c r="A14" s="1">
        <v>13</v>
      </c>
      <c r="B14" s="1">
        <f>'Вариант 1'!B14+0.6</f>
        <v>13</v>
      </c>
      <c r="C14" s="1">
        <f>'Вариант 1'!C14+0.6</f>
        <v>1.5699999999999998</v>
      </c>
      <c r="D14" s="1">
        <f>'Вариант 1'!D14+0.6</f>
        <v>0.87</v>
      </c>
    </row>
    <row r="15" spans="1:4" ht="15.5" x14ac:dyDescent="0.35">
      <c r="A15" s="1">
        <v>14</v>
      </c>
      <c r="B15" s="1">
        <f>'Вариант 1'!B15+0.6</f>
        <v>11.9</v>
      </c>
      <c r="C15" s="1">
        <f>'Вариант 1'!C15+0.6</f>
        <v>1.6600000000000001</v>
      </c>
      <c r="D15" s="1">
        <f>'Вариант 1'!D15+0.6</f>
        <v>0.86</v>
      </c>
    </row>
    <row r="16" spans="1:4" ht="15.5" x14ac:dyDescent="0.35">
      <c r="A16" s="1"/>
      <c r="B16" s="1"/>
      <c r="C16" s="1"/>
      <c r="D16" s="1"/>
    </row>
    <row r="17" spans="1:4" ht="15.5" x14ac:dyDescent="0.35">
      <c r="A17" s="1"/>
      <c r="B17" s="1"/>
      <c r="C17" s="1"/>
      <c r="D17" s="1"/>
    </row>
    <row r="18" spans="1:4" ht="15.5" x14ac:dyDescent="0.35">
      <c r="A18" s="1"/>
      <c r="B18" s="1"/>
      <c r="C18" s="1"/>
      <c r="D18" s="1"/>
    </row>
    <row r="19" spans="1:4" ht="15.5" x14ac:dyDescent="0.35">
      <c r="A19" s="1"/>
      <c r="B19" s="1"/>
      <c r="C19" s="1"/>
      <c r="D19" s="1"/>
    </row>
    <row r="20" spans="1:4" ht="15.5" x14ac:dyDescent="0.35">
      <c r="A20" s="1"/>
      <c r="B20" s="1"/>
      <c r="C20" s="1"/>
      <c r="D20" s="1"/>
    </row>
    <row r="21" spans="1:4" ht="15.5" x14ac:dyDescent="0.35">
      <c r="A21" s="1"/>
      <c r="B21" s="1"/>
      <c r="C21" s="1"/>
      <c r="D21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workbookViewId="0">
      <selection activeCell="B1" sqref="B1:D1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1'!B2+0.7</f>
        <v>10.399999999999999</v>
      </c>
      <c r="C2" s="1">
        <f>'Вариант 1'!C2+0.7</f>
        <v>2.29</v>
      </c>
      <c r="D2" s="1">
        <f>'Вариант 1'!D2+0.7</f>
        <v>0.95</v>
      </c>
    </row>
    <row r="3" spans="1:4" ht="15.5" x14ac:dyDescent="0.35">
      <c r="A3" s="1">
        <v>2</v>
      </c>
      <c r="B3" s="1">
        <f>'Вариант 1'!B3+0.7</f>
        <v>10.649999999999999</v>
      </c>
      <c r="C3" s="1">
        <f>'Вариант 1'!C3+0.7</f>
        <v>1.96</v>
      </c>
      <c r="D3" s="1">
        <f>'Вариант 1'!D3+0.7</f>
        <v>0.96</v>
      </c>
    </row>
    <row r="4" spans="1:4" ht="15.5" x14ac:dyDescent="0.35">
      <c r="A4" s="1">
        <v>3</v>
      </c>
      <c r="B4" s="1">
        <f>'Вариант 1'!B4+0.7</f>
        <v>9.1</v>
      </c>
      <c r="C4" s="1">
        <f>'Вариант 1'!C4+0.7</f>
        <v>1.58</v>
      </c>
      <c r="D4" s="1">
        <f>'Вариант 1'!D4+0.7</f>
        <v>0.99</v>
      </c>
    </row>
    <row r="5" spans="1:4" ht="15.5" x14ac:dyDescent="0.35">
      <c r="A5" s="1">
        <v>4</v>
      </c>
      <c r="B5" s="1">
        <f>'Вариант 1'!B5+0.7</f>
        <v>9.4799999999999986</v>
      </c>
      <c r="C5" s="1">
        <f>'Вариант 1'!C5+0.7</f>
        <v>1.8299999999999998</v>
      </c>
      <c r="D5" s="1">
        <f>'Вариант 1'!D5+0.7</f>
        <v>0.97</v>
      </c>
    </row>
    <row r="6" spans="1:4" ht="15.5" x14ac:dyDescent="0.35">
      <c r="A6" s="1">
        <v>5</v>
      </c>
      <c r="B6" s="1">
        <f>'Вариант 1'!B6+0.7</f>
        <v>11.2</v>
      </c>
      <c r="C6" s="1">
        <f>'Вариант 1'!C6+0.7</f>
        <v>1.3399999999999999</v>
      </c>
      <c r="D6" s="1">
        <f>'Вариант 1'!D6+0.7</f>
        <v>0.94</v>
      </c>
    </row>
    <row r="7" spans="1:4" ht="15.5" x14ac:dyDescent="0.35">
      <c r="A7" s="1">
        <v>6</v>
      </c>
      <c r="B7" s="1">
        <f>'Вариант 1'!B7+0.7</f>
        <v>11.899999999999999</v>
      </c>
      <c r="C7" s="1">
        <f>'Вариант 1'!C7+0.7</f>
        <v>1.29</v>
      </c>
      <c r="D7" s="1">
        <f>'Вариант 1'!D7+0.7</f>
        <v>1.01</v>
      </c>
    </row>
    <row r="8" spans="1:4" ht="15.5" x14ac:dyDescent="0.35">
      <c r="A8" s="1">
        <v>7</v>
      </c>
      <c r="B8" s="1">
        <f>'Вариант 1'!B8+0.7</f>
        <v>12.7</v>
      </c>
      <c r="C8" s="1">
        <f>'Вариант 1'!C8+0.7</f>
        <v>1.43</v>
      </c>
      <c r="D8" s="1">
        <f>'Вариант 1'!D8+0.7</f>
        <v>0.97</v>
      </c>
    </row>
    <row r="9" spans="1:4" ht="15.5" x14ac:dyDescent="0.35">
      <c r="A9" s="1">
        <v>8</v>
      </c>
      <c r="B9" s="1">
        <f>'Вариант 1'!B9+0.7</f>
        <v>10.899999999999999</v>
      </c>
      <c r="C9" s="1">
        <f>'Вариант 1'!C9+0.7</f>
        <v>2.04</v>
      </c>
      <c r="D9" s="1">
        <f>'Вариант 1'!D9+0.7</f>
        <v>0.97</v>
      </c>
    </row>
    <row r="10" spans="1:4" ht="15.5" x14ac:dyDescent="0.35">
      <c r="A10" s="1">
        <v>9</v>
      </c>
      <c r="B10" s="1">
        <f>'Вариант 1'!B10+0.7</f>
        <v>10.37</v>
      </c>
      <c r="C10" s="1">
        <f>'Вариант 1'!C10+0.7</f>
        <v>1.76</v>
      </c>
      <c r="D10" s="1">
        <f>'Вариант 1'!D10+0.7</f>
        <v>0.98</v>
      </c>
    </row>
    <row r="11" spans="1:4" ht="15.5" x14ac:dyDescent="0.35">
      <c r="A11" s="1">
        <v>10</v>
      </c>
      <c r="B11" s="1">
        <f>'Вариант 1'!B11+0.7</f>
        <v>10.25</v>
      </c>
      <c r="C11" s="1">
        <f>'Вариант 1'!C11+0.7</f>
        <v>2.08</v>
      </c>
      <c r="D11" s="1">
        <f>'Вариант 1'!D11+0.7</f>
        <v>0.96</v>
      </c>
    </row>
    <row r="12" spans="1:4" ht="15.5" x14ac:dyDescent="0.35">
      <c r="A12" s="1">
        <v>11</v>
      </c>
      <c r="B12" s="1">
        <f>'Вариант 1'!B12+0.7</f>
        <v>11</v>
      </c>
      <c r="C12" s="1">
        <f>'Вариант 1'!C12+0.7</f>
        <v>1.65</v>
      </c>
      <c r="D12" s="1">
        <f>'Вариант 1'!D12+0.7</f>
        <v>0.92999999999999994</v>
      </c>
    </row>
    <row r="13" spans="1:4" ht="15.5" x14ac:dyDescent="0.35">
      <c r="A13" s="1">
        <v>12</v>
      </c>
      <c r="B13" s="1">
        <f>'Вариант 1'!B13+0.7</f>
        <v>12.299999999999999</v>
      </c>
      <c r="C13" s="1">
        <f>'Вариант 1'!C13+0.7</f>
        <v>1.56</v>
      </c>
      <c r="D13" s="1">
        <f>'Вариант 1'!D13+0.7</f>
        <v>0.98</v>
      </c>
    </row>
    <row r="14" spans="1:4" ht="15.5" x14ac:dyDescent="0.35">
      <c r="A14" s="1">
        <v>13</v>
      </c>
      <c r="B14" s="1">
        <f>'Вариант 1'!B14+0.7</f>
        <v>13.1</v>
      </c>
      <c r="C14" s="1">
        <f>'Вариант 1'!C14+0.7</f>
        <v>1.67</v>
      </c>
      <c r="D14" s="1">
        <f>'Вариант 1'!D14+0.7</f>
        <v>0.97</v>
      </c>
    </row>
    <row r="15" spans="1:4" ht="15.5" x14ac:dyDescent="0.35">
      <c r="A15" s="1">
        <v>14</v>
      </c>
      <c r="B15" s="1">
        <f>'Вариант 1'!B15+0.7</f>
        <v>12</v>
      </c>
      <c r="C15" s="1">
        <f>'Вариант 1'!C15+0.7</f>
        <v>1.76</v>
      </c>
      <c r="D15" s="1">
        <f>'Вариант 1'!D15+0.7</f>
        <v>0.96</v>
      </c>
    </row>
    <row r="16" spans="1:4" ht="15.5" x14ac:dyDescent="0.35">
      <c r="A16" s="1"/>
      <c r="B16" s="1"/>
      <c r="C16" s="1"/>
      <c r="D16" s="1"/>
    </row>
    <row r="17" spans="1:4" ht="15.5" x14ac:dyDescent="0.35">
      <c r="A17" s="1"/>
      <c r="B17" s="1"/>
      <c r="C17" s="1"/>
      <c r="D17" s="1"/>
    </row>
    <row r="18" spans="1:4" ht="15.5" x14ac:dyDescent="0.35">
      <c r="A18" s="1"/>
      <c r="B18" s="1"/>
      <c r="C18" s="1"/>
      <c r="D18" s="1"/>
    </row>
    <row r="19" spans="1:4" ht="15.5" x14ac:dyDescent="0.35">
      <c r="A19" s="1"/>
      <c r="B19" s="1"/>
      <c r="C19" s="1"/>
      <c r="D19" s="1"/>
    </row>
    <row r="20" spans="1:4" ht="15.5" x14ac:dyDescent="0.35">
      <c r="A20" s="1"/>
      <c r="B20" s="1"/>
      <c r="C20" s="1"/>
      <c r="D20" s="1"/>
    </row>
    <row r="21" spans="1:4" ht="15.5" x14ac:dyDescent="0.35">
      <c r="A21" s="1"/>
      <c r="B21" s="1"/>
      <c r="C21" s="1"/>
      <c r="D21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>
      <selection activeCell="B1" sqref="B1:D1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1'!B2+0.8</f>
        <v>10.5</v>
      </c>
      <c r="C2" s="1">
        <f>'Вариант 1'!C2+0.8</f>
        <v>2.39</v>
      </c>
      <c r="D2" s="1">
        <f>'Вариант 1'!D2+0.8</f>
        <v>1.05</v>
      </c>
    </row>
    <row r="3" spans="1:4" ht="15.5" x14ac:dyDescent="0.35">
      <c r="A3" s="1">
        <v>2</v>
      </c>
      <c r="B3" s="1">
        <f>'Вариант 1'!B3+0.8</f>
        <v>10.75</v>
      </c>
      <c r="C3" s="1">
        <f>'Вариант 1'!C3+0.8</f>
        <v>2.06</v>
      </c>
      <c r="D3" s="1">
        <f>'Вариант 1'!D3+0.8</f>
        <v>1.06</v>
      </c>
    </row>
    <row r="4" spans="1:4" ht="15.5" x14ac:dyDescent="0.35">
      <c r="A4" s="1">
        <v>3</v>
      </c>
      <c r="B4" s="1">
        <f>'Вариант 1'!B4+0.8</f>
        <v>9.2000000000000011</v>
      </c>
      <c r="C4" s="1">
        <f>'Вариант 1'!C4+0.8</f>
        <v>1.6800000000000002</v>
      </c>
      <c r="D4" s="1">
        <f>'Вариант 1'!D4+0.8</f>
        <v>1.0900000000000001</v>
      </c>
    </row>
    <row r="5" spans="1:4" ht="15.5" x14ac:dyDescent="0.35">
      <c r="A5" s="1">
        <v>4</v>
      </c>
      <c r="B5" s="1">
        <f>'Вариант 1'!B5+0.8</f>
        <v>9.58</v>
      </c>
      <c r="C5" s="1">
        <f>'Вариант 1'!C5+0.8</f>
        <v>1.93</v>
      </c>
      <c r="D5" s="1">
        <f>'Вариант 1'!D5+0.8</f>
        <v>1.07</v>
      </c>
    </row>
    <row r="6" spans="1:4" ht="15.5" x14ac:dyDescent="0.35">
      <c r="A6" s="1">
        <v>5</v>
      </c>
      <c r="B6" s="1">
        <f>'Вариант 1'!B6+0.8</f>
        <v>11.3</v>
      </c>
      <c r="C6" s="1">
        <f>'Вариант 1'!C6+0.8</f>
        <v>1.44</v>
      </c>
      <c r="D6" s="1">
        <f>'Вариант 1'!D6+0.8</f>
        <v>1.04</v>
      </c>
    </row>
    <row r="7" spans="1:4" ht="15.5" x14ac:dyDescent="0.35">
      <c r="A7" s="1">
        <v>6</v>
      </c>
      <c r="B7" s="1">
        <f>'Вариант 1'!B7+0.8</f>
        <v>12</v>
      </c>
      <c r="C7" s="1">
        <f>'Вариант 1'!C7+0.8</f>
        <v>1.3900000000000001</v>
      </c>
      <c r="D7" s="1">
        <f>'Вариант 1'!D7+0.8</f>
        <v>1.1100000000000001</v>
      </c>
    </row>
    <row r="8" spans="1:4" ht="15.5" x14ac:dyDescent="0.35">
      <c r="A8" s="1">
        <v>7</v>
      </c>
      <c r="B8" s="1">
        <f>'Вариант 1'!B8+0.8</f>
        <v>12.8</v>
      </c>
      <c r="C8" s="1">
        <f>'Вариант 1'!C8+0.8</f>
        <v>1.53</v>
      </c>
      <c r="D8" s="1">
        <f>'Вариант 1'!D8+0.8</f>
        <v>1.07</v>
      </c>
    </row>
    <row r="9" spans="1:4" ht="15.5" x14ac:dyDescent="0.35">
      <c r="A9" s="1">
        <v>8</v>
      </c>
      <c r="B9" s="1">
        <f>'Вариант 1'!B9+0.8</f>
        <v>11</v>
      </c>
      <c r="C9" s="1">
        <f>'Вариант 1'!C9+0.8</f>
        <v>2.14</v>
      </c>
      <c r="D9" s="1">
        <f>'Вариант 1'!D9+0.8</f>
        <v>1.07</v>
      </c>
    </row>
    <row r="10" spans="1:4" ht="15.5" x14ac:dyDescent="0.35">
      <c r="A10" s="1">
        <v>9</v>
      </c>
      <c r="B10" s="1">
        <f>'Вариант 1'!B10+0.8</f>
        <v>10.47</v>
      </c>
      <c r="C10" s="1">
        <f>'Вариант 1'!C10+0.8</f>
        <v>1.86</v>
      </c>
      <c r="D10" s="1">
        <f>'Вариант 1'!D10+0.8</f>
        <v>1.08</v>
      </c>
    </row>
    <row r="11" spans="1:4" ht="15.5" x14ac:dyDescent="0.35">
      <c r="A11" s="1">
        <v>10</v>
      </c>
      <c r="B11" s="1">
        <f>'Вариант 1'!B11+0.8</f>
        <v>10.350000000000001</v>
      </c>
      <c r="C11" s="1">
        <f>'Вариант 1'!C11+0.8</f>
        <v>2.1799999999999997</v>
      </c>
      <c r="D11" s="1">
        <f>'Вариант 1'!D11+0.8</f>
        <v>1.06</v>
      </c>
    </row>
    <row r="12" spans="1:4" ht="15.5" x14ac:dyDescent="0.35">
      <c r="A12" s="1">
        <v>11</v>
      </c>
      <c r="B12" s="1">
        <f>'Вариант 1'!B12+0.8</f>
        <v>11.100000000000001</v>
      </c>
      <c r="C12" s="1">
        <f>'Вариант 1'!C12+0.8</f>
        <v>1.75</v>
      </c>
      <c r="D12" s="1">
        <f>'Вариант 1'!D12+0.8</f>
        <v>1.03</v>
      </c>
    </row>
    <row r="13" spans="1:4" ht="15.5" x14ac:dyDescent="0.35">
      <c r="A13" s="1">
        <v>12</v>
      </c>
      <c r="B13" s="1">
        <f>'Вариант 1'!B13+0.8</f>
        <v>12.4</v>
      </c>
      <c r="C13" s="1">
        <f>'Вариант 1'!C13+0.8</f>
        <v>1.6600000000000001</v>
      </c>
      <c r="D13" s="1">
        <f>'Вариант 1'!D13+0.8</f>
        <v>1.08</v>
      </c>
    </row>
    <row r="14" spans="1:4" ht="15.5" x14ac:dyDescent="0.35">
      <c r="A14" s="1">
        <v>13</v>
      </c>
      <c r="B14" s="1">
        <f>'Вариант 1'!B14+0.8</f>
        <v>13.200000000000001</v>
      </c>
      <c r="C14" s="1">
        <f>'Вариант 1'!C14+0.8</f>
        <v>1.77</v>
      </c>
      <c r="D14" s="1">
        <f>'Вариант 1'!D14+0.8</f>
        <v>1.07</v>
      </c>
    </row>
    <row r="15" spans="1:4" ht="15.5" x14ac:dyDescent="0.35">
      <c r="A15" s="1">
        <v>14</v>
      </c>
      <c r="B15" s="1">
        <f>'Вариант 1'!B15+0.8</f>
        <v>12.100000000000001</v>
      </c>
      <c r="C15" s="1">
        <f>'Вариант 1'!C15+0.8</f>
        <v>1.86</v>
      </c>
      <c r="D15" s="1">
        <f>'Вариант 1'!D15+0.8</f>
        <v>1.06</v>
      </c>
    </row>
    <row r="16" spans="1:4" ht="15.5" x14ac:dyDescent="0.35">
      <c r="A16" s="1"/>
      <c r="B16" s="1"/>
      <c r="C16" s="1"/>
      <c r="D16" s="1"/>
    </row>
    <row r="17" spans="1:4" ht="15.5" x14ac:dyDescent="0.35">
      <c r="A17" s="1"/>
      <c r="B17" s="1"/>
      <c r="C17" s="1"/>
      <c r="D17" s="1"/>
    </row>
    <row r="18" spans="1:4" ht="15.5" x14ac:dyDescent="0.35">
      <c r="A18" s="1"/>
      <c r="B18" s="1"/>
      <c r="C18" s="1"/>
      <c r="D18" s="1"/>
    </row>
    <row r="19" spans="1:4" ht="15.5" x14ac:dyDescent="0.35">
      <c r="A19" s="1"/>
      <c r="B19" s="1"/>
      <c r="C19" s="1"/>
      <c r="D19" s="1"/>
    </row>
    <row r="20" spans="1:4" ht="15.5" x14ac:dyDescent="0.35">
      <c r="A20" s="1"/>
      <c r="B20" s="1"/>
      <c r="C20" s="1"/>
      <c r="D20" s="1"/>
    </row>
    <row r="21" spans="1:4" ht="15.5" x14ac:dyDescent="0.35">
      <c r="A21" s="1"/>
      <c r="B21" s="1"/>
      <c r="C21" s="1"/>
      <c r="D21" s="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>
      <selection activeCell="B24" sqref="B24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1'!B2+0.9</f>
        <v>10.6</v>
      </c>
      <c r="C2" s="1">
        <f>'Вариант 1'!C2+0.9</f>
        <v>2.4900000000000002</v>
      </c>
      <c r="D2" s="1">
        <f>'Вариант 1'!D2+0.9</f>
        <v>1.1499999999999999</v>
      </c>
    </row>
    <row r="3" spans="1:4" ht="15.5" x14ac:dyDescent="0.35">
      <c r="A3" s="1">
        <v>2</v>
      </c>
      <c r="B3" s="1">
        <f>'Вариант 1'!B3+0.9</f>
        <v>10.85</v>
      </c>
      <c r="C3" s="1">
        <f>'Вариант 1'!C3+0.9</f>
        <v>2.16</v>
      </c>
      <c r="D3" s="1">
        <f>'Вариант 1'!D3+0.9</f>
        <v>1.1600000000000001</v>
      </c>
    </row>
    <row r="4" spans="1:4" ht="15.5" x14ac:dyDescent="0.35">
      <c r="A4" s="1">
        <v>3</v>
      </c>
      <c r="B4" s="1">
        <f>'Вариант 1'!B4+0.9</f>
        <v>9.3000000000000007</v>
      </c>
      <c r="C4" s="1">
        <f>'Вариант 1'!C4+0.9</f>
        <v>1.78</v>
      </c>
      <c r="D4" s="1">
        <f>'Вариант 1'!D4+0.9</f>
        <v>1.19</v>
      </c>
    </row>
    <row r="5" spans="1:4" ht="15.5" x14ac:dyDescent="0.35">
      <c r="A5" s="1">
        <v>4</v>
      </c>
      <c r="B5" s="1">
        <f>'Вариант 1'!B5+0.9</f>
        <v>9.68</v>
      </c>
      <c r="C5" s="1">
        <f>'Вариант 1'!C5+0.9</f>
        <v>2.0299999999999998</v>
      </c>
      <c r="D5" s="1">
        <f>'Вариант 1'!D5+0.9</f>
        <v>1.17</v>
      </c>
    </row>
    <row r="6" spans="1:4" ht="15.5" x14ac:dyDescent="0.35">
      <c r="A6" s="1">
        <v>5</v>
      </c>
      <c r="B6" s="1">
        <f>'Вариант 1'!B6+0.9</f>
        <v>11.4</v>
      </c>
      <c r="C6" s="1">
        <f>'Вариант 1'!C6+0.9</f>
        <v>1.54</v>
      </c>
      <c r="D6" s="1">
        <f>'Вариант 1'!D6+0.9</f>
        <v>1.1400000000000001</v>
      </c>
    </row>
    <row r="7" spans="1:4" ht="15.5" x14ac:dyDescent="0.35">
      <c r="A7" s="1">
        <v>6</v>
      </c>
      <c r="B7" s="1">
        <f>'Вариант 1'!B7+0.9</f>
        <v>12.1</v>
      </c>
      <c r="C7" s="1">
        <f>'Вариант 1'!C7+0.9</f>
        <v>1.49</v>
      </c>
      <c r="D7" s="1">
        <f>'Вариант 1'!D7+0.9</f>
        <v>1.21</v>
      </c>
    </row>
    <row r="8" spans="1:4" ht="15.5" x14ac:dyDescent="0.35">
      <c r="A8" s="1">
        <v>7</v>
      </c>
      <c r="B8" s="1">
        <f>'Вариант 1'!B8+0.9</f>
        <v>12.9</v>
      </c>
      <c r="C8" s="1">
        <f>'Вариант 1'!C8+0.9</f>
        <v>1.63</v>
      </c>
      <c r="D8" s="1">
        <f>'Вариант 1'!D8+0.9</f>
        <v>1.17</v>
      </c>
    </row>
    <row r="9" spans="1:4" ht="15.5" x14ac:dyDescent="0.35">
      <c r="A9" s="1">
        <v>8</v>
      </c>
      <c r="B9" s="1">
        <f>'Вариант 1'!B9+0.9</f>
        <v>11.1</v>
      </c>
      <c r="C9" s="1">
        <f>'Вариант 1'!C9+0.9</f>
        <v>2.2400000000000002</v>
      </c>
      <c r="D9" s="1">
        <f>'Вариант 1'!D9+0.9</f>
        <v>1.17</v>
      </c>
    </row>
    <row r="10" spans="1:4" ht="15.5" x14ac:dyDescent="0.35">
      <c r="A10" s="1">
        <v>9</v>
      </c>
      <c r="B10" s="1">
        <f>'Вариант 1'!B10+0.9</f>
        <v>10.57</v>
      </c>
      <c r="C10" s="1">
        <f>'Вариант 1'!C10+0.9</f>
        <v>1.96</v>
      </c>
      <c r="D10" s="1">
        <f>'Вариант 1'!D10+0.9</f>
        <v>1.1800000000000002</v>
      </c>
    </row>
    <row r="11" spans="1:4" ht="15.5" x14ac:dyDescent="0.35">
      <c r="A11" s="1">
        <v>10</v>
      </c>
      <c r="B11" s="1">
        <f>'Вариант 1'!B11+0.9</f>
        <v>10.450000000000001</v>
      </c>
      <c r="C11" s="1">
        <f>'Вариант 1'!C11+0.9</f>
        <v>2.2799999999999998</v>
      </c>
      <c r="D11" s="1">
        <f>'Вариант 1'!D11+0.9</f>
        <v>1.1600000000000001</v>
      </c>
    </row>
    <row r="12" spans="1:4" ht="15.5" x14ac:dyDescent="0.35">
      <c r="A12" s="1">
        <v>11</v>
      </c>
      <c r="B12" s="1">
        <f>'Вариант 1'!B12+0.9</f>
        <v>11.200000000000001</v>
      </c>
      <c r="C12" s="1">
        <f>'Вариант 1'!C12+0.9</f>
        <v>1.85</v>
      </c>
      <c r="D12" s="1">
        <f>'Вариант 1'!D12+0.9</f>
        <v>1.1300000000000001</v>
      </c>
    </row>
    <row r="13" spans="1:4" ht="15.5" x14ac:dyDescent="0.35">
      <c r="A13" s="1">
        <v>12</v>
      </c>
      <c r="B13" s="1">
        <f>'Вариант 1'!B13+0.9</f>
        <v>12.5</v>
      </c>
      <c r="C13" s="1">
        <f>'Вариант 1'!C13+0.9</f>
        <v>1.76</v>
      </c>
      <c r="D13" s="1">
        <f>'Вариант 1'!D13+0.9</f>
        <v>1.1800000000000002</v>
      </c>
    </row>
    <row r="14" spans="1:4" ht="15.5" x14ac:dyDescent="0.35">
      <c r="A14" s="1">
        <v>13</v>
      </c>
      <c r="B14" s="1">
        <f>'Вариант 1'!B14+0.9</f>
        <v>13.3</v>
      </c>
      <c r="C14" s="1">
        <f>'Вариант 1'!C14+0.9</f>
        <v>1.87</v>
      </c>
      <c r="D14" s="1">
        <f>'Вариант 1'!D14+0.9</f>
        <v>1.17</v>
      </c>
    </row>
    <row r="15" spans="1:4" ht="15.5" x14ac:dyDescent="0.35">
      <c r="A15" s="1">
        <v>14</v>
      </c>
      <c r="B15" s="1">
        <f>'Вариант 1'!B15+0.9</f>
        <v>12.200000000000001</v>
      </c>
      <c r="C15" s="1">
        <f>'Вариант 1'!C15+0.9</f>
        <v>1.96</v>
      </c>
      <c r="D15" s="1">
        <f>'Вариант 1'!D15+0.9</f>
        <v>1.1600000000000001</v>
      </c>
    </row>
    <row r="16" spans="1:4" ht="15.5" x14ac:dyDescent="0.35">
      <c r="A16" s="1"/>
      <c r="B16" s="1"/>
      <c r="C16" s="1"/>
      <c r="D16" s="1"/>
    </row>
    <row r="17" spans="1:4" ht="15.5" x14ac:dyDescent="0.35">
      <c r="A17" s="1"/>
      <c r="B17" s="1"/>
      <c r="C17" s="1"/>
      <c r="D17" s="1"/>
    </row>
    <row r="18" spans="1:4" ht="15.5" x14ac:dyDescent="0.35">
      <c r="A18" s="1"/>
      <c r="B18" s="1"/>
      <c r="C18" s="1"/>
      <c r="D18" s="1"/>
    </row>
    <row r="19" spans="1:4" ht="15.5" x14ac:dyDescent="0.35">
      <c r="A19" s="1"/>
      <c r="B19" s="1"/>
      <c r="C19" s="1"/>
      <c r="D19" s="1"/>
    </row>
    <row r="20" spans="1:4" ht="15.5" x14ac:dyDescent="0.35">
      <c r="A20" s="1"/>
      <c r="B20" s="1"/>
      <c r="C20" s="1"/>
      <c r="D20" s="1"/>
    </row>
    <row r="21" spans="1:4" ht="15.5" x14ac:dyDescent="0.35">
      <c r="A21" s="1"/>
      <c r="B21" s="1"/>
      <c r="C21" s="1"/>
      <c r="D21" s="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1"/>
  <sheetViews>
    <sheetView workbookViewId="0">
      <selection activeCell="B1" sqref="B1:D1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1'!B2+1</f>
        <v>10.7</v>
      </c>
      <c r="C2" s="1">
        <f>'Вариант 1'!C2+1</f>
        <v>2.59</v>
      </c>
      <c r="D2" s="1">
        <f>'Вариант 1'!D2+1</f>
        <v>1.25</v>
      </c>
    </row>
    <row r="3" spans="1:4" ht="15.5" x14ac:dyDescent="0.35">
      <c r="A3" s="1">
        <v>2</v>
      </c>
      <c r="B3" s="1">
        <f>'Вариант 1'!B3+1</f>
        <v>10.95</v>
      </c>
      <c r="C3" s="1">
        <f>'Вариант 1'!C3+1</f>
        <v>2.2599999999999998</v>
      </c>
      <c r="D3" s="1">
        <f>'Вариант 1'!D3+1</f>
        <v>1.26</v>
      </c>
    </row>
    <row r="4" spans="1:4" ht="15.5" x14ac:dyDescent="0.35">
      <c r="A4" s="1">
        <v>3</v>
      </c>
      <c r="B4" s="1">
        <f>'Вариант 1'!B4+1</f>
        <v>9.4</v>
      </c>
      <c r="C4" s="1">
        <f>'Вариант 1'!C4+1</f>
        <v>1.88</v>
      </c>
      <c r="D4" s="1">
        <f>'Вариант 1'!D4+1</f>
        <v>1.29</v>
      </c>
    </row>
    <row r="5" spans="1:4" ht="15.5" x14ac:dyDescent="0.35">
      <c r="A5" s="1">
        <v>4</v>
      </c>
      <c r="B5" s="1">
        <f>'Вариант 1'!B5+1</f>
        <v>9.7799999999999994</v>
      </c>
      <c r="C5" s="1">
        <f>'Вариант 1'!C5+1</f>
        <v>2.13</v>
      </c>
      <c r="D5" s="1">
        <f>'Вариант 1'!D5+1</f>
        <v>1.27</v>
      </c>
    </row>
    <row r="6" spans="1:4" ht="15.5" x14ac:dyDescent="0.35">
      <c r="A6" s="1">
        <v>5</v>
      </c>
      <c r="B6" s="1">
        <f>'Вариант 1'!B6+1</f>
        <v>11.5</v>
      </c>
      <c r="C6" s="1">
        <f>'Вариант 1'!C6+1</f>
        <v>1.6400000000000001</v>
      </c>
      <c r="D6" s="1">
        <f>'Вариант 1'!D6+1</f>
        <v>1.24</v>
      </c>
    </row>
    <row r="7" spans="1:4" ht="15.5" x14ac:dyDescent="0.35">
      <c r="A7" s="1">
        <v>6</v>
      </c>
      <c r="B7" s="1">
        <f>'Вариант 1'!B7+1</f>
        <v>12.2</v>
      </c>
      <c r="C7" s="1">
        <f>'Вариант 1'!C7+1</f>
        <v>1.5899999999999999</v>
      </c>
      <c r="D7" s="1">
        <f>'Вариант 1'!D7+1</f>
        <v>1.31</v>
      </c>
    </row>
    <row r="8" spans="1:4" ht="15.5" x14ac:dyDescent="0.35">
      <c r="A8" s="1">
        <v>7</v>
      </c>
      <c r="B8" s="1">
        <f>'Вариант 1'!B8+1</f>
        <v>13</v>
      </c>
      <c r="C8" s="1">
        <f>'Вариант 1'!C8+1</f>
        <v>1.73</v>
      </c>
      <c r="D8" s="1">
        <f>'Вариант 1'!D8+1</f>
        <v>1.27</v>
      </c>
    </row>
    <row r="9" spans="1:4" ht="15.5" x14ac:dyDescent="0.35">
      <c r="A9" s="1">
        <v>8</v>
      </c>
      <c r="B9" s="1">
        <f>'Вариант 1'!B9+1</f>
        <v>11.2</v>
      </c>
      <c r="C9" s="1">
        <f>'Вариант 1'!C9+1</f>
        <v>2.34</v>
      </c>
      <c r="D9" s="1">
        <f>'Вариант 1'!D9+1</f>
        <v>1.27</v>
      </c>
    </row>
    <row r="10" spans="1:4" ht="15.5" x14ac:dyDescent="0.35">
      <c r="A10" s="1">
        <v>9</v>
      </c>
      <c r="B10" s="1">
        <f>'Вариант 1'!B10+1</f>
        <v>10.67</v>
      </c>
      <c r="C10" s="1">
        <f>'Вариант 1'!C10+1</f>
        <v>2.06</v>
      </c>
      <c r="D10" s="1">
        <f>'Вариант 1'!D10+1</f>
        <v>1.28</v>
      </c>
    </row>
    <row r="11" spans="1:4" ht="15.5" x14ac:dyDescent="0.35">
      <c r="A11" s="1">
        <v>10</v>
      </c>
      <c r="B11" s="1">
        <f>'Вариант 1'!B11+1</f>
        <v>10.55</v>
      </c>
      <c r="C11" s="1">
        <f>'Вариант 1'!C11+1</f>
        <v>2.38</v>
      </c>
      <c r="D11" s="1">
        <f>'Вариант 1'!D11+1</f>
        <v>1.26</v>
      </c>
    </row>
    <row r="12" spans="1:4" ht="15.5" x14ac:dyDescent="0.35">
      <c r="A12" s="1">
        <v>11</v>
      </c>
      <c r="B12" s="1">
        <f>'Вариант 1'!B12+1</f>
        <v>11.3</v>
      </c>
      <c r="C12" s="1">
        <f>'Вариант 1'!C12+1</f>
        <v>1.95</v>
      </c>
      <c r="D12" s="1">
        <f>'Вариант 1'!D12+1</f>
        <v>1.23</v>
      </c>
    </row>
    <row r="13" spans="1:4" ht="15.5" x14ac:dyDescent="0.35">
      <c r="A13" s="1">
        <v>12</v>
      </c>
      <c r="B13" s="1">
        <f>'Вариант 1'!B13+1</f>
        <v>12.6</v>
      </c>
      <c r="C13" s="1">
        <f>'Вариант 1'!C13+1</f>
        <v>1.8599999999999999</v>
      </c>
      <c r="D13" s="1">
        <f>'Вариант 1'!D13+1</f>
        <v>1.28</v>
      </c>
    </row>
    <row r="14" spans="1:4" ht="15.5" x14ac:dyDescent="0.35">
      <c r="A14" s="1">
        <v>13</v>
      </c>
      <c r="B14" s="1">
        <f>'Вариант 1'!B14+1</f>
        <v>13.4</v>
      </c>
      <c r="C14" s="1">
        <f>'Вариант 1'!C14+1</f>
        <v>1.97</v>
      </c>
      <c r="D14" s="1">
        <f>'Вариант 1'!D14+1</f>
        <v>1.27</v>
      </c>
    </row>
    <row r="15" spans="1:4" ht="15.5" x14ac:dyDescent="0.35">
      <c r="A15" s="1">
        <v>14</v>
      </c>
      <c r="B15" s="1">
        <f>'Вариант 1'!B15+1</f>
        <v>12.3</v>
      </c>
      <c r="C15" s="1">
        <f>'Вариант 1'!C15+1</f>
        <v>2.06</v>
      </c>
      <c r="D15" s="1">
        <f>'Вариант 1'!D15+1</f>
        <v>1.26</v>
      </c>
    </row>
    <row r="16" spans="1:4" ht="15.5" x14ac:dyDescent="0.35">
      <c r="A16" s="1"/>
      <c r="B16" s="1"/>
      <c r="C16" s="1"/>
      <c r="D16" s="1"/>
    </row>
    <row r="17" spans="1:4" ht="15.5" x14ac:dyDescent="0.35">
      <c r="A17" s="1"/>
      <c r="B17" s="1"/>
      <c r="C17" s="1"/>
      <c r="D17" s="1"/>
    </row>
    <row r="18" spans="1:4" ht="15.5" x14ac:dyDescent="0.35">
      <c r="A18" s="1"/>
      <c r="B18" s="1"/>
      <c r="C18" s="1"/>
      <c r="D18" s="1"/>
    </row>
    <row r="19" spans="1:4" ht="15.5" x14ac:dyDescent="0.35">
      <c r="A19" s="1"/>
      <c r="B19" s="1"/>
      <c r="C19" s="1"/>
      <c r="D19" s="1"/>
    </row>
    <row r="20" spans="1:4" ht="15.5" x14ac:dyDescent="0.35">
      <c r="A20" s="1"/>
      <c r="B20" s="1"/>
      <c r="C20" s="1"/>
      <c r="D20" s="1"/>
    </row>
    <row r="21" spans="1:4" ht="15.5" x14ac:dyDescent="0.35">
      <c r="A21" s="1"/>
      <c r="B21" s="1"/>
      <c r="C21" s="1"/>
      <c r="D21" s="1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6"/>
  <sheetViews>
    <sheetView tabSelected="1" topLeftCell="A11" zoomScale="93" workbookViewId="0">
      <selection activeCell="L21" sqref="L21"/>
    </sheetView>
  </sheetViews>
  <sheetFormatPr defaultRowHeight="14.5" x14ac:dyDescent="0.35"/>
  <cols>
    <col min="1" max="1" width="18.08984375" customWidth="1"/>
    <col min="2" max="4" width="12.26953125" bestFit="1" customWidth="1"/>
  </cols>
  <sheetData>
    <row r="1" spans="1:13" ht="15.5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1" t="s">
        <v>5</v>
      </c>
      <c r="H1" s="1" t="s">
        <v>6</v>
      </c>
      <c r="I1" s="1" t="s">
        <v>11</v>
      </c>
      <c r="K1" s="3" t="s">
        <v>19</v>
      </c>
      <c r="L1" s="1" t="s">
        <v>20</v>
      </c>
      <c r="M1" s="1" t="s">
        <v>11</v>
      </c>
    </row>
    <row r="2" spans="1:13" ht="15.5" x14ac:dyDescent="0.35">
      <c r="A2" s="1">
        <v>1</v>
      </c>
      <c r="B2" s="1">
        <f>'Вариант 1'!B2+1.1</f>
        <v>10.799999999999999</v>
      </c>
      <c r="C2" s="1">
        <f>'Вариант 1'!C2+1.1</f>
        <v>2.6900000000000004</v>
      </c>
      <c r="D2" s="1">
        <f>'Вариант 1'!D2+1.1</f>
        <v>1.35</v>
      </c>
      <c r="F2">
        <f>C2*B2</f>
        <v>29.052</v>
      </c>
      <c r="G2">
        <f>C2^2</f>
        <v>7.2361000000000022</v>
      </c>
      <c r="H2">
        <f>B2^2</f>
        <v>116.63999999999997</v>
      </c>
      <c r="I2">
        <f>15.19599-1.73572*C2</f>
        <v>10.5269032</v>
      </c>
      <c r="K2">
        <f>D2*B2</f>
        <v>14.58</v>
      </c>
      <c r="L2">
        <f>D2^2</f>
        <v>1.8225000000000002</v>
      </c>
      <c r="M2">
        <f>7.47259+2.94324*D2</f>
        <v>11.445964</v>
      </c>
    </row>
    <row r="3" spans="1:13" ht="15.5" x14ac:dyDescent="0.35">
      <c r="A3" s="1">
        <v>2</v>
      </c>
      <c r="B3" s="1">
        <f>'Вариант 1'!B3+1.1</f>
        <v>11.049999999999999</v>
      </c>
      <c r="C3" s="1">
        <f>'Вариант 1'!C3+1.1</f>
        <v>2.3600000000000003</v>
      </c>
      <c r="D3" s="1">
        <f>'Вариант 1'!D3+1.1</f>
        <v>1.36</v>
      </c>
      <c r="F3">
        <f t="shared" ref="F3:F15" si="0">C3*B3</f>
        <v>26.077999999999999</v>
      </c>
      <c r="G3">
        <f t="shared" ref="G3:G15" si="1">C3^2</f>
        <v>5.5696000000000012</v>
      </c>
      <c r="H3">
        <f t="shared" ref="H3:H15" si="2">B3^2</f>
        <v>122.10249999999998</v>
      </c>
      <c r="I3">
        <f t="shared" ref="I3:I15" si="3">15.19599-1.73572*C3</f>
        <v>11.099690799999999</v>
      </c>
      <c r="K3">
        <f t="shared" ref="K3:K15" si="4">D3*B3</f>
        <v>15.028</v>
      </c>
      <c r="L3">
        <f t="shared" ref="L3:L15" si="5">D3^2</f>
        <v>1.8496000000000004</v>
      </c>
      <c r="M3">
        <f t="shared" ref="M3:M15" si="6">7.47259+2.94324*D3</f>
        <v>11.475396400000001</v>
      </c>
    </row>
    <row r="4" spans="1:13" ht="15.5" x14ac:dyDescent="0.35">
      <c r="A4" s="1">
        <v>3</v>
      </c>
      <c r="B4" s="1">
        <f>'Вариант 1'!B4+1.1</f>
        <v>9.5</v>
      </c>
      <c r="C4" s="1">
        <f>'Вариант 1'!C4+1.1</f>
        <v>1.98</v>
      </c>
      <c r="D4" s="1">
        <f>'Вариант 1'!D4+1.1</f>
        <v>1.3900000000000001</v>
      </c>
      <c r="F4">
        <f t="shared" si="0"/>
        <v>18.809999999999999</v>
      </c>
      <c r="G4">
        <f t="shared" si="1"/>
        <v>3.9203999999999999</v>
      </c>
      <c r="H4">
        <f t="shared" si="2"/>
        <v>90.25</v>
      </c>
      <c r="I4">
        <f t="shared" si="3"/>
        <v>11.759264399999999</v>
      </c>
      <c r="K4">
        <f t="shared" si="4"/>
        <v>13.205000000000002</v>
      </c>
      <c r="L4">
        <f t="shared" si="5"/>
        <v>1.9321000000000004</v>
      </c>
      <c r="M4">
        <f t="shared" si="6"/>
        <v>11.563693600000001</v>
      </c>
    </row>
    <row r="5" spans="1:13" ht="15.5" x14ac:dyDescent="0.35">
      <c r="A5" s="1">
        <v>4</v>
      </c>
      <c r="B5" s="1">
        <f>'Вариант 1'!B5+1.1</f>
        <v>9.879999999999999</v>
      </c>
      <c r="C5" s="1">
        <f>'Вариант 1'!C5+1.1</f>
        <v>2.23</v>
      </c>
      <c r="D5" s="1">
        <f>'Вариант 1'!D5+1.1</f>
        <v>1.37</v>
      </c>
      <c r="F5">
        <f t="shared" si="0"/>
        <v>22.032399999999999</v>
      </c>
      <c r="G5">
        <f t="shared" si="1"/>
        <v>4.9729000000000001</v>
      </c>
      <c r="H5">
        <f t="shared" si="2"/>
        <v>97.614399999999975</v>
      </c>
      <c r="I5">
        <f t="shared" si="3"/>
        <v>11.325334400000001</v>
      </c>
      <c r="K5">
        <f t="shared" si="4"/>
        <v>13.535600000000001</v>
      </c>
      <c r="L5">
        <f t="shared" si="5"/>
        <v>1.8769000000000002</v>
      </c>
      <c r="M5">
        <f t="shared" si="6"/>
        <v>11.5048288</v>
      </c>
    </row>
    <row r="6" spans="1:13" ht="15.5" x14ac:dyDescent="0.35">
      <c r="A6" s="1">
        <v>5</v>
      </c>
      <c r="B6" s="1">
        <f>'Вариант 1'!B6+1.1</f>
        <v>11.6</v>
      </c>
      <c r="C6" s="1">
        <f>'Вариант 1'!C6+1.1</f>
        <v>1.7400000000000002</v>
      </c>
      <c r="D6" s="1">
        <f>'Вариант 1'!D6+1.1</f>
        <v>1.34</v>
      </c>
      <c r="F6">
        <f t="shared" si="0"/>
        <v>20.184000000000001</v>
      </c>
      <c r="G6">
        <f t="shared" si="1"/>
        <v>3.027600000000001</v>
      </c>
      <c r="H6">
        <f t="shared" si="2"/>
        <v>134.56</v>
      </c>
      <c r="I6">
        <f t="shared" si="3"/>
        <v>12.1758372</v>
      </c>
      <c r="K6">
        <f t="shared" si="4"/>
        <v>15.544</v>
      </c>
      <c r="L6">
        <f t="shared" si="5"/>
        <v>1.7956000000000003</v>
      </c>
      <c r="M6">
        <f t="shared" si="6"/>
        <v>11.416531600000001</v>
      </c>
    </row>
    <row r="7" spans="1:13" ht="15.5" x14ac:dyDescent="0.35">
      <c r="A7" s="1">
        <v>6</v>
      </c>
      <c r="B7" s="1">
        <f>'Вариант 1'!B7+1.1</f>
        <v>12.299999999999999</v>
      </c>
      <c r="C7" s="1">
        <f>'Вариант 1'!C7+1.1</f>
        <v>1.69</v>
      </c>
      <c r="D7" s="1">
        <f>'Вариант 1'!D7+1.1</f>
        <v>1.4100000000000001</v>
      </c>
      <c r="F7">
        <f t="shared" si="0"/>
        <v>20.786999999999999</v>
      </c>
      <c r="G7">
        <f t="shared" si="1"/>
        <v>2.8560999999999996</v>
      </c>
      <c r="H7">
        <f t="shared" si="2"/>
        <v>151.28999999999996</v>
      </c>
      <c r="I7">
        <f t="shared" si="3"/>
        <v>12.2626232</v>
      </c>
      <c r="K7">
        <f t="shared" si="4"/>
        <v>17.343</v>
      </c>
      <c r="L7">
        <f t="shared" si="5"/>
        <v>1.9881000000000004</v>
      </c>
      <c r="M7">
        <f t="shared" si="6"/>
        <v>11.622558400000001</v>
      </c>
    </row>
    <row r="8" spans="1:13" ht="15.5" x14ac:dyDescent="0.35">
      <c r="A8" s="1">
        <v>7</v>
      </c>
      <c r="B8" s="1">
        <f>'Вариант 1'!B8+1.1</f>
        <v>13.1</v>
      </c>
      <c r="C8" s="1">
        <f>'Вариант 1'!C8+1.1</f>
        <v>1.83</v>
      </c>
      <c r="D8" s="1">
        <f>'Вариант 1'!D8+1.1</f>
        <v>1.37</v>
      </c>
      <c r="F8">
        <f t="shared" si="0"/>
        <v>23.972999999999999</v>
      </c>
      <c r="G8">
        <f t="shared" si="1"/>
        <v>3.3489000000000004</v>
      </c>
      <c r="H8">
        <f t="shared" si="2"/>
        <v>171.60999999999999</v>
      </c>
      <c r="I8">
        <f t="shared" si="3"/>
        <v>12.019622399999999</v>
      </c>
      <c r="K8">
        <f t="shared" si="4"/>
        <v>17.946999999999999</v>
      </c>
      <c r="L8">
        <f t="shared" si="5"/>
        <v>1.8769000000000002</v>
      </c>
      <c r="M8">
        <f t="shared" si="6"/>
        <v>11.5048288</v>
      </c>
    </row>
    <row r="9" spans="1:13" ht="15.5" x14ac:dyDescent="0.35">
      <c r="A9" s="1">
        <v>8</v>
      </c>
      <c r="B9" s="1">
        <f>'Вариант 1'!B9+1.1</f>
        <v>11.299999999999999</v>
      </c>
      <c r="C9" s="1">
        <f>'Вариант 1'!C9+1.1</f>
        <v>2.4400000000000004</v>
      </c>
      <c r="D9" s="1">
        <f>'Вариант 1'!D9+1.1</f>
        <v>1.37</v>
      </c>
      <c r="F9">
        <f t="shared" si="0"/>
        <v>27.572000000000003</v>
      </c>
      <c r="G9">
        <f t="shared" si="1"/>
        <v>5.9536000000000016</v>
      </c>
      <c r="H9">
        <f t="shared" si="2"/>
        <v>127.68999999999997</v>
      </c>
      <c r="I9">
        <f t="shared" si="3"/>
        <v>10.9608332</v>
      </c>
      <c r="K9">
        <f t="shared" si="4"/>
        <v>15.481</v>
      </c>
      <c r="L9">
        <f t="shared" si="5"/>
        <v>1.8769000000000002</v>
      </c>
      <c r="M9">
        <f t="shared" si="6"/>
        <v>11.5048288</v>
      </c>
    </row>
    <row r="10" spans="1:13" ht="15.5" x14ac:dyDescent="0.35">
      <c r="A10" s="1">
        <v>9</v>
      </c>
      <c r="B10" s="1">
        <f>'Вариант 1'!B10+1.1</f>
        <v>10.77</v>
      </c>
      <c r="C10" s="1">
        <f>'Вариант 1'!C10+1.1</f>
        <v>2.16</v>
      </c>
      <c r="D10" s="1">
        <f>'Вариант 1'!D10+1.1</f>
        <v>1.3800000000000001</v>
      </c>
      <c r="F10">
        <f t="shared" si="0"/>
        <v>23.263200000000001</v>
      </c>
      <c r="G10">
        <f t="shared" si="1"/>
        <v>4.6656000000000004</v>
      </c>
      <c r="H10">
        <f t="shared" si="2"/>
        <v>115.99289999999999</v>
      </c>
      <c r="I10">
        <f t="shared" si="3"/>
        <v>11.4468348</v>
      </c>
      <c r="K10">
        <f t="shared" si="4"/>
        <v>14.8626</v>
      </c>
      <c r="L10">
        <f t="shared" si="5"/>
        <v>1.9044000000000003</v>
      </c>
      <c r="M10">
        <f t="shared" si="6"/>
        <v>11.5342612</v>
      </c>
    </row>
    <row r="11" spans="1:13" ht="15.5" x14ac:dyDescent="0.35">
      <c r="A11" s="1">
        <v>10</v>
      </c>
      <c r="B11" s="1">
        <f>'Вариант 1'!B11+1.1</f>
        <v>10.65</v>
      </c>
      <c r="C11" s="1">
        <f>'Вариант 1'!C11+1.1</f>
        <v>2.48</v>
      </c>
      <c r="D11" s="1">
        <f>'Вариант 1'!D11+1.1</f>
        <v>1.36</v>
      </c>
      <c r="F11">
        <f t="shared" si="0"/>
        <v>26.411999999999999</v>
      </c>
      <c r="G11">
        <f t="shared" si="1"/>
        <v>6.1504000000000003</v>
      </c>
      <c r="H11">
        <f t="shared" si="2"/>
        <v>113.42250000000001</v>
      </c>
      <c r="I11">
        <f t="shared" si="3"/>
        <v>10.891404399999999</v>
      </c>
      <c r="K11">
        <f t="shared" si="4"/>
        <v>14.484000000000002</v>
      </c>
      <c r="L11">
        <f t="shared" si="5"/>
        <v>1.8496000000000004</v>
      </c>
      <c r="M11">
        <f t="shared" si="6"/>
        <v>11.475396400000001</v>
      </c>
    </row>
    <row r="12" spans="1:13" ht="15.5" x14ac:dyDescent="0.35">
      <c r="A12" s="1">
        <v>11</v>
      </c>
      <c r="B12" s="1">
        <f>'Вариант 1'!B12+1.1</f>
        <v>11.4</v>
      </c>
      <c r="C12" s="1">
        <f>'Вариант 1'!C12+1.1</f>
        <v>2.0499999999999998</v>
      </c>
      <c r="D12" s="1">
        <f>'Вариант 1'!D12+1.1</f>
        <v>1.33</v>
      </c>
      <c r="F12">
        <f t="shared" si="0"/>
        <v>23.369999999999997</v>
      </c>
      <c r="G12">
        <f t="shared" si="1"/>
        <v>4.2024999999999997</v>
      </c>
      <c r="H12">
        <f t="shared" si="2"/>
        <v>129.96</v>
      </c>
      <c r="I12">
        <f t="shared" si="3"/>
        <v>11.637764000000001</v>
      </c>
      <c r="K12">
        <f t="shared" si="4"/>
        <v>15.162000000000001</v>
      </c>
      <c r="L12">
        <f t="shared" si="5"/>
        <v>1.7689000000000001</v>
      </c>
      <c r="M12">
        <f t="shared" si="6"/>
        <v>11.3870992</v>
      </c>
    </row>
    <row r="13" spans="1:13" ht="15.5" x14ac:dyDescent="0.35">
      <c r="A13" s="1">
        <v>12</v>
      </c>
      <c r="B13" s="1">
        <f>'Вариант 1'!B13+1.1</f>
        <v>12.7</v>
      </c>
      <c r="C13" s="1">
        <f>'Вариант 1'!C13+1.1</f>
        <v>1.96</v>
      </c>
      <c r="D13" s="1">
        <f>'Вариант 1'!D13+1.1</f>
        <v>1.3800000000000001</v>
      </c>
      <c r="F13">
        <f t="shared" si="0"/>
        <v>24.891999999999999</v>
      </c>
      <c r="G13">
        <f t="shared" si="1"/>
        <v>3.8415999999999997</v>
      </c>
      <c r="H13">
        <f t="shared" si="2"/>
        <v>161.29</v>
      </c>
      <c r="I13">
        <f t="shared" si="3"/>
        <v>11.7939788</v>
      </c>
      <c r="K13">
        <f t="shared" si="4"/>
        <v>17.526</v>
      </c>
      <c r="L13">
        <f t="shared" si="5"/>
        <v>1.9044000000000003</v>
      </c>
      <c r="M13">
        <f t="shared" si="6"/>
        <v>11.5342612</v>
      </c>
    </row>
    <row r="14" spans="1:13" ht="15.5" x14ac:dyDescent="0.35">
      <c r="A14" s="1">
        <v>13</v>
      </c>
      <c r="B14" s="1">
        <f>'Вариант 1'!B14+1.1</f>
        <v>13.5</v>
      </c>
      <c r="C14" s="1">
        <f>'Вариант 1'!C14+1.1</f>
        <v>2.0700000000000003</v>
      </c>
      <c r="D14" s="1">
        <f>'Вариант 1'!D14+1.1</f>
        <v>1.37</v>
      </c>
      <c r="F14">
        <f t="shared" si="0"/>
        <v>27.945000000000004</v>
      </c>
      <c r="G14">
        <f t="shared" si="1"/>
        <v>4.2849000000000013</v>
      </c>
      <c r="H14">
        <f t="shared" si="2"/>
        <v>182.25</v>
      </c>
      <c r="I14">
        <f t="shared" si="3"/>
        <v>11.6030496</v>
      </c>
      <c r="K14">
        <f t="shared" si="4"/>
        <v>18.495000000000001</v>
      </c>
      <c r="L14">
        <f t="shared" si="5"/>
        <v>1.8769000000000002</v>
      </c>
      <c r="M14">
        <f t="shared" si="6"/>
        <v>11.5048288</v>
      </c>
    </row>
    <row r="15" spans="1:13" ht="15.5" x14ac:dyDescent="0.35">
      <c r="A15" s="1">
        <v>14</v>
      </c>
      <c r="B15" s="1">
        <f>'Вариант 1'!B15+1.1</f>
        <v>12.4</v>
      </c>
      <c r="C15" s="1">
        <f>'Вариант 1'!C15+1.1</f>
        <v>2.16</v>
      </c>
      <c r="D15" s="1">
        <f>'Вариант 1'!D15+1.1</f>
        <v>1.36</v>
      </c>
      <c r="F15">
        <f t="shared" si="0"/>
        <v>26.784000000000002</v>
      </c>
      <c r="G15">
        <f t="shared" si="1"/>
        <v>4.6656000000000004</v>
      </c>
      <c r="H15">
        <f t="shared" si="2"/>
        <v>153.76000000000002</v>
      </c>
      <c r="I15">
        <f t="shared" si="3"/>
        <v>11.4468348</v>
      </c>
      <c r="K15">
        <f t="shared" si="4"/>
        <v>16.864000000000001</v>
      </c>
      <c r="L15">
        <f t="shared" si="5"/>
        <v>1.8496000000000004</v>
      </c>
      <c r="M15">
        <f t="shared" si="6"/>
        <v>11.475396400000001</v>
      </c>
    </row>
    <row r="16" spans="1:13" ht="15.5" x14ac:dyDescent="0.35">
      <c r="A16" s="1"/>
      <c r="B16" s="1"/>
      <c r="C16" s="1"/>
      <c r="D16" s="1"/>
    </row>
    <row r="17" spans="1:14" ht="15.5" x14ac:dyDescent="0.35">
      <c r="A17" s="1" t="s">
        <v>7</v>
      </c>
      <c r="B17" s="1">
        <f>SUM(B2:B15)</f>
        <v>160.94999999999999</v>
      </c>
      <c r="C17" s="1">
        <f>SUM(C2:C15)</f>
        <v>29.840000000000003</v>
      </c>
      <c r="D17" s="1">
        <f>SUM(D2:D15)</f>
        <v>19.14</v>
      </c>
      <c r="F17">
        <f>SUM(F2:F15)</f>
        <v>341.15460000000002</v>
      </c>
      <c r="G17">
        <f>SUM(G2:G15)</f>
        <v>64.695800000000006</v>
      </c>
      <c r="H17">
        <f>SUM(H2:H15)</f>
        <v>1868.4322999999997</v>
      </c>
      <c r="K17">
        <f>SUM(K2:K15)</f>
        <v>220.05720000000005</v>
      </c>
      <c r="L17">
        <f>SUM(L2:L15)</f>
        <v>26.1724</v>
      </c>
    </row>
    <row r="18" spans="1:14" ht="15.5" customHeight="1" x14ac:dyDescent="0.35">
      <c r="A18" s="1" t="s">
        <v>8</v>
      </c>
      <c r="B18" s="1">
        <f>B17/14</f>
        <v>11.49642857142857</v>
      </c>
      <c r="C18" s="1">
        <f>C17/14</f>
        <v>2.1314285714285717</v>
      </c>
      <c r="D18" s="1">
        <f>D17/14</f>
        <v>1.3671428571428572</v>
      </c>
      <c r="F18">
        <f>F17/14</f>
        <v>24.368185714285715</v>
      </c>
      <c r="G18">
        <f>G17/14</f>
        <v>4.6211285714285717</v>
      </c>
      <c r="H18">
        <f>H17/14</f>
        <v>133.45944999999998</v>
      </c>
      <c r="K18">
        <f>K17/14</f>
        <v>15.718371428571432</v>
      </c>
      <c r="L18">
        <f>L17/14</f>
        <v>1.8694571428571429</v>
      </c>
    </row>
    <row r="19" spans="1:14" ht="15.5" x14ac:dyDescent="0.35">
      <c r="A19" s="1"/>
      <c r="B19" s="1"/>
      <c r="C19" s="1"/>
      <c r="D19" s="1"/>
    </row>
    <row r="20" spans="1:14" ht="15.5" x14ac:dyDescent="0.35">
      <c r="A20" s="1"/>
      <c r="B20" s="1"/>
      <c r="C20" s="1"/>
      <c r="D20" s="1"/>
    </row>
    <row r="21" spans="1:14" ht="15.5" x14ac:dyDescent="0.35">
      <c r="A21" s="1"/>
      <c r="B21" s="1"/>
      <c r="C21" s="1"/>
      <c r="D21" s="1"/>
      <c r="F21" t="s">
        <v>9</v>
      </c>
      <c r="G21" t="s">
        <v>10</v>
      </c>
      <c r="H21" t="s">
        <v>12</v>
      </c>
      <c r="I21" t="s">
        <v>13</v>
      </c>
      <c r="J21" t="s">
        <v>14</v>
      </c>
      <c r="K21" t="s">
        <v>15</v>
      </c>
      <c r="L21" t="s">
        <v>16</v>
      </c>
      <c r="M21" t="s">
        <v>17</v>
      </c>
      <c r="N21" t="s">
        <v>18</v>
      </c>
    </row>
    <row r="22" spans="1:14" x14ac:dyDescent="0.35">
      <c r="F22">
        <f>(F18-C18*B18)/(G18-C18^2)</f>
        <v>-1.7357204419023518</v>
      </c>
      <c r="G22">
        <f>B18-F22*C18</f>
        <v>15.195992713311869</v>
      </c>
      <c r="H22" cm="1">
        <f t="array" ref="H22">1-(SUM((B2:B15-I2:I15)^2)/SUM((B2:B15-B18)^2))</f>
        <v>0.18227040339663825</v>
      </c>
      <c r="I22" cm="1">
        <f t="array" ref="I22">SQRT(SUM((B2:B15-I2:I15)^2)/12)</f>
        <v>1.110040759819158</v>
      </c>
      <c r="J22" cm="1">
        <f t="array" ref="J22">I22/SQRT(SUM((C2:C15-C18)^2))</f>
        <v>1.0612945553672986</v>
      </c>
      <c r="K22">
        <f>-1.73572/1.061295</f>
        <v>-1.6354736430492933</v>
      </c>
      <c r="L22" cm="1">
        <f t="array" ref="L22">I22*SQRT(G17/(14*SUM((C2:C15-C18)^2)))</f>
        <v>2.2814447829588524</v>
      </c>
      <c r="M22">
        <f>15.19599/L22</f>
        <v>6.660687172227771</v>
      </c>
      <c r="N22" cm="1">
        <f t="array" ref="N22">SQRT(I22*I22*(1 + 1/14+(2.6642857125-C18)^2/SUM((C2:C15-C18)^2)))</f>
        <v>1.2806307570278315</v>
      </c>
    </row>
    <row r="25" spans="1:14" x14ac:dyDescent="0.35">
      <c r="F25" t="s">
        <v>9</v>
      </c>
      <c r="G25" t="s">
        <v>10</v>
      </c>
      <c r="H25" t="s">
        <v>12</v>
      </c>
      <c r="I25" t="s">
        <v>21</v>
      </c>
      <c r="J25" t="s">
        <v>14</v>
      </c>
      <c r="K25" t="s">
        <v>15</v>
      </c>
      <c r="L25" t="s">
        <v>16</v>
      </c>
      <c r="M25" t="s">
        <v>17</v>
      </c>
      <c r="N25" t="s">
        <v>18</v>
      </c>
    </row>
    <row r="26" spans="1:14" x14ac:dyDescent="0.35">
      <c r="F26">
        <f>(K18-D18*B18)/(L18-D18^2)</f>
        <v>2.94324324325722</v>
      </c>
      <c r="G26">
        <f>B18-F26*D18</f>
        <v>7.4725945945754848</v>
      </c>
      <c r="H26" cm="1">
        <f t="array" ref="H26">1-(SUM((B2:B15-M2:M15)^2)/SUM((B2:B15-B18)^2))</f>
        <v>2.5322501365819816E-3</v>
      </c>
      <c r="I26" cm="1">
        <f t="array" ref="I26">SQRT(SUM((B2:B15-M2:M15)^2)/12)</f>
        <v>1.2259803211482856</v>
      </c>
      <c r="J26" cm="1">
        <f t="array" ref="J26">I26/SQRT(SUM((D2:D15-D18)^2))</f>
        <v>16.862876413685836</v>
      </c>
      <c r="K26">
        <f>F26/J26</f>
        <v>0.17453980987896567</v>
      </c>
      <c r="L26" cm="1">
        <f t="array" ref="L26">I26*SQRT(L17/(14*SUM((D2:D15-D18)^2)))</f>
        <v>23.056289353491426</v>
      </c>
      <c r="M26">
        <f>G26/L26</f>
        <v>0.32410222130751953</v>
      </c>
      <c r="N26" cm="1">
        <f t="array" ref="N26">SQRT(1.50303*(1+1/14+(1.7089-D18)/SUM((D2:D15-D18)^2)))</f>
        <v>9.9393880291405381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1"/>
  <sheetViews>
    <sheetView workbookViewId="0">
      <selection activeCell="B1" sqref="B1:D1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1'!B2+1.2</f>
        <v>10.899999999999999</v>
      </c>
      <c r="C2" s="1">
        <f>'Вариант 1'!C2+1.2</f>
        <v>2.79</v>
      </c>
      <c r="D2" s="1">
        <f>'Вариант 1'!D2+1.2</f>
        <v>1.45</v>
      </c>
    </row>
    <row r="3" spans="1:4" ht="15.5" x14ac:dyDescent="0.35">
      <c r="A3" s="1">
        <v>2</v>
      </c>
      <c r="B3" s="1">
        <f>'Вариант 1'!B3+1.2</f>
        <v>11.149999999999999</v>
      </c>
      <c r="C3" s="1">
        <f>'Вариант 1'!C3+1.2</f>
        <v>2.46</v>
      </c>
      <c r="D3" s="1">
        <f>'Вариант 1'!D3+1.2</f>
        <v>1.46</v>
      </c>
    </row>
    <row r="4" spans="1:4" ht="15.5" x14ac:dyDescent="0.35">
      <c r="A4" s="1">
        <v>3</v>
      </c>
      <c r="B4" s="1">
        <f>'Вариант 1'!B4+1.2</f>
        <v>9.6</v>
      </c>
      <c r="C4" s="1">
        <f>'Вариант 1'!C4+1.2</f>
        <v>2.08</v>
      </c>
      <c r="D4" s="1">
        <f>'Вариант 1'!D4+1.2</f>
        <v>1.49</v>
      </c>
    </row>
    <row r="5" spans="1:4" ht="15.5" x14ac:dyDescent="0.35">
      <c r="A5" s="1">
        <v>4</v>
      </c>
      <c r="B5" s="1">
        <f>'Вариант 1'!B5+1.2</f>
        <v>9.9799999999999986</v>
      </c>
      <c r="C5" s="1">
        <f>'Вариант 1'!C5+1.2</f>
        <v>2.33</v>
      </c>
      <c r="D5" s="1">
        <f>'Вариант 1'!D5+1.2</f>
        <v>1.47</v>
      </c>
    </row>
    <row r="6" spans="1:4" ht="15.5" x14ac:dyDescent="0.35">
      <c r="A6" s="1">
        <v>5</v>
      </c>
      <c r="B6" s="1">
        <f>'Вариант 1'!B6+1.2</f>
        <v>11.7</v>
      </c>
      <c r="C6" s="1">
        <f>'Вариант 1'!C6+1.2</f>
        <v>1.8399999999999999</v>
      </c>
      <c r="D6" s="1">
        <f>'Вариант 1'!D6+1.2</f>
        <v>1.44</v>
      </c>
    </row>
    <row r="7" spans="1:4" ht="15.5" x14ac:dyDescent="0.35">
      <c r="A7" s="1">
        <v>6</v>
      </c>
      <c r="B7" s="1">
        <f>'Вариант 1'!B7+1.2</f>
        <v>12.399999999999999</v>
      </c>
      <c r="C7" s="1">
        <f>'Вариант 1'!C7+1.2</f>
        <v>1.79</v>
      </c>
      <c r="D7" s="1">
        <f>'Вариант 1'!D7+1.2</f>
        <v>1.51</v>
      </c>
    </row>
    <row r="8" spans="1:4" ht="15.5" x14ac:dyDescent="0.35">
      <c r="A8" s="1">
        <v>7</v>
      </c>
      <c r="B8" s="1">
        <f>'Вариант 1'!B8+1.2</f>
        <v>13.2</v>
      </c>
      <c r="C8" s="1">
        <f>'Вариант 1'!C8+1.2</f>
        <v>1.93</v>
      </c>
      <c r="D8" s="1">
        <f>'Вариант 1'!D8+1.2</f>
        <v>1.47</v>
      </c>
    </row>
    <row r="9" spans="1:4" ht="15.5" x14ac:dyDescent="0.35">
      <c r="A9" s="1">
        <v>8</v>
      </c>
      <c r="B9" s="1">
        <f>'Вариант 1'!B9+1.2</f>
        <v>11.399999999999999</v>
      </c>
      <c r="C9" s="1">
        <f>'Вариант 1'!C9+1.2</f>
        <v>2.54</v>
      </c>
      <c r="D9" s="1">
        <f>'Вариант 1'!D9+1.2</f>
        <v>1.47</v>
      </c>
    </row>
    <row r="10" spans="1:4" ht="15.5" x14ac:dyDescent="0.35">
      <c r="A10" s="1">
        <v>9</v>
      </c>
      <c r="B10" s="1">
        <f>'Вариант 1'!B10+1.2</f>
        <v>10.87</v>
      </c>
      <c r="C10" s="1">
        <f>'Вариант 1'!C10+1.2</f>
        <v>2.2599999999999998</v>
      </c>
      <c r="D10" s="1">
        <f>'Вариант 1'!D10+1.2</f>
        <v>1.48</v>
      </c>
    </row>
    <row r="11" spans="1:4" ht="15.5" x14ac:dyDescent="0.35">
      <c r="A11" s="1">
        <v>10</v>
      </c>
      <c r="B11" s="1">
        <f>'Вариант 1'!B11+1.2</f>
        <v>10.75</v>
      </c>
      <c r="C11" s="1">
        <f>'Вариант 1'!C11+1.2</f>
        <v>2.58</v>
      </c>
      <c r="D11" s="1">
        <f>'Вариант 1'!D11+1.2</f>
        <v>1.46</v>
      </c>
    </row>
    <row r="12" spans="1:4" ht="15.5" x14ac:dyDescent="0.35">
      <c r="A12" s="1">
        <v>11</v>
      </c>
      <c r="B12" s="1">
        <f>'Вариант 1'!B12+1.2</f>
        <v>11.5</v>
      </c>
      <c r="C12" s="1">
        <f>'Вариант 1'!C12+1.2</f>
        <v>2.15</v>
      </c>
      <c r="D12" s="1">
        <f>'Вариант 1'!D12+1.2</f>
        <v>1.43</v>
      </c>
    </row>
    <row r="13" spans="1:4" ht="15.5" x14ac:dyDescent="0.35">
      <c r="A13" s="1">
        <v>12</v>
      </c>
      <c r="B13" s="1">
        <f>'Вариант 1'!B13+1.2</f>
        <v>12.799999999999999</v>
      </c>
      <c r="C13" s="1">
        <f>'Вариант 1'!C13+1.2</f>
        <v>2.06</v>
      </c>
      <c r="D13" s="1">
        <f>'Вариант 1'!D13+1.2</f>
        <v>1.48</v>
      </c>
    </row>
    <row r="14" spans="1:4" ht="15.5" x14ac:dyDescent="0.35">
      <c r="A14" s="1">
        <v>13</v>
      </c>
      <c r="B14" s="1">
        <f>'Вариант 1'!B14+1.2</f>
        <v>13.6</v>
      </c>
      <c r="C14" s="1">
        <f>'Вариант 1'!C14+1.2</f>
        <v>2.17</v>
      </c>
      <c r="D14" s="1">
        <f>'Вариант 1'!D14+1.2</f>
        <v>1.47</v>
      </c>
    </row>
    <row r="15" spans="1:4" ht="15.5" x14ac:dyDescent="0.35">
      <c r="A15" s="1">
        <v>14</v>
      </c>
      <c r="B15" s="1">
        <f>'Вариант 1'!B15+1.2</f>
        <v>12.5</v>
      </c>
      <c r="C15" s="1">
        <f>'Вариант 1'!C15+1.2</f>
        <v>2.2599999999999998</v>
      </c>
      <c r="D15" s="1">
        <f>'Вариант 1'!D15+1.2</f>
        <v>1.46</v>
      </c>
    </row>
    <row r="16" spans="1:4" ht="15.5" x14ac:dyDescent="0.35">
      <c r="A16" s="1"/>
      <c r="B16" s="1"/>
      <c r="C16" s="1"/>
      <c r="D16" s="1"/>
    </row>
    <row r="17" spans="1:4" ht="15.5" x14ac:dyDescent="0.35">
      <c r="A17" s="1"/>
      <c r="B17" s="1"/>
      <c r="C17" s="1"/>
      <c r="D17" s="1"/>
    </row>
    <row r="18" spans="1:4" ht="15.5" x14ac:dyDescent="0.35">
      <c r="A18" s="1"/>
      <c r="B18" s="1"/>
      <c r="C18" s="1"/>
      <c r="D18" s="1"/>
    </row>
    <row r="19" spans="1:4" ht="15.5" x14ac:dyDescent="0.35">
      <c r="A19" s="1"/>
      <c r="B19" s="1"/>
      <c r="C19" s="1"/>
      <c r="D19" s="1"/>
    </row>
    <row r="20" spans="1:4" ht="15.5" x14ac:dyDescent="0.35">
      <c r="A20" s="1"/>
      <c r="B20" s="1"/>
      <c r="C20" s="1"/>
      <c r="D20" s="1"/>
    </row>
    <row r="21" spans="1:4" ht="15.5" x14ac:dyDescent="0.35">
      <c r="A21" s="1"/>
      <c r="B21" s="1"/>
      <c r="C21" s="1"/>
      <c r="D21" s="1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1"/>
  <sheetViews>
    <sheetView workbookViewId="0">
      <selection activeCell="G19" sqref="G19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1'!B2+1.3</f>
        <v>11</v>
      </c>
      <c r="C2" s="1">
        <f>'Вариант 1'!C2+1.3</f>
        <v>2.89</v>
      </c>
      <c r="D2" s="1">
        <f>'Вариант 1'!D2+1.3</f>
        <v>1.55</v>
      </c>
    </row>
    <row r="3" spans="1:4" ht="15.5" x14ac:dyDescent="0.35">
      <c r="A3" s="1">
        <v>2</v>
      </c>
      <c r="B3" s="1">
        <f>'Вариант 1'!B3+1.3</f>
        <v>11.25</v>
      </c>
      <c r="C3" s="1">
        <f>'Вариант 1'!C3+1.3</f>
        <v>2.56</v>
      </c>
      <c r="D3" s="1">
        <f>'Вариант 1'!D3+1.3</f>
        <v>1.56</v>
      </c>
    </row>
    <row r="4" spans="1:4" ht="15.5" x14ac:dyDescent="0.35">
      <c r="A4" s="1">
        <v>3</v>
      </c>
      <c r="B4" s="1">
        <f>'Вариант 1'!B4+1.3</f>
        <v>9.7000000000000011</v>
      </c>
      <c r="C4" s="1">
        <f>'Вариант 1'!C4+1.3</f>
        <v>2.1800000000000002</v>
      </c>
      <c r="D4" s="1">
        <f>'Вариант 1'!D4+1.3</f>
        <v>1.59</v>
      </c>
    </row>
    <row r="5" spans="1:4" ht="15.5" x14ac:dyDescent="0.35">
      <c r="A5" s="1">
        <v>4</v>
      </c>
      <c r="B5" s="1">
        <f>'Вариант 1'!B5+1.3</f>
        <v>10.08</v>
      </c>
      <c r="C5" s="1">
        <f>'Вариант 1'!C5+1.3</f>
        <v>2.4299999999999997</v>
      </c>
      <c r="D5" s="1">
        <f>'Вариант 1'!D5+1.3</f>
        <v>1.57</v>
      </c>
    </row>
    <row r="6" spans="1:4" ht="15.5" x14ac:dyDescent="0.35">
      <c r="A6" s="1">
        <v>5</v>
      </c>
      <c r="B6" s="1">
        <f>'Вариант 1'!B6+1.3</f>
        <v>11.8</v>
      </c>
      <c r="C6" s="1">
        <f>'Вариант 1'!C6+1.3</f>
        <v>1.94</v>
      </c>
      <c r="D6" s="1">
        <f>'Вариант 1'!D6+1.3</f>
        <v>1.54</v>
      </c>
    </row>
    <row r="7" spans="1:4" ht="15.5" x14ac:dyDescent="0.35">
      <c r="A7" s="1">
        <v>6</v>
      </c>
      <c r="B7" s="1">
        <f>'Вариант 1'!B7+1.3</f>
        <v>12.5</v>
      </c>
      <c r="C7" s="1">
        <f>'Вариант 1'!C7+1.3</f>
        <v>1.8900000000000001</v>
      </c>
      <c r="D7" s="1">
        <f>'Вариант 1'!D7+1.3</f>
        <v>1.61</v>
      </c>
    </row>
    <row r="8" spans="1:4" ht="15.5" x14ac:dyDescent="0.35">
      <c r="A8" s="1">
        <v>7</v>
      </c>
      <c r="B8" s="1">
        <f>'Вариант 1'!B8+1.3</f>
        <v>13.3</v>
      </c>
      <c r="C8" s="1">
        <f>'Вариант 1'!C8+1.3</f>
        <v>2.0300000000000002</v>
      </c>
      <c r="D8" s="1">
        <f>'Вариант 1'!D8+1.3</f>
        <v>1.57</v>
      </c>
    </row>
    <row r="9" spans="1:4" ht="15.5" x14ac:dyDescent="0.35">
      <c r="A9" s="1">
        <v>8</v>
      </c>
      <c r="B9" s="1">
        <f>'Вариант 1'!B9+1.3</f>
        <v>11.5</v>
      </c>
      <c r="C9" s="1">
        <f>'Вариант 1'!C9+1.3</f>
        <v>2.64</v>
      </c>
      <c r="D9" s="1">
        <f>'Вариант 1'!D9+1.3</f>
        <v>1.57</v>
      </c>
    </row>
    <row r="10" spans="1:4" ht="15.5" x14ac:dyDescent="0.35">
      <c r="A10" s="1">
        <v>9</v>
      </c>
      <c r="B10" s="1">
        <f>'Вариант 1'!B10+1.3</f>
        <v>10.97</v>
      </c>
      <c r="C10" s="1">
        <f>'Вариант 1'!C10+1.3</f>
        <v>2.3600000000000003</v>
      </c>
      <c r="D10" s="1">
        <f>'Вариант 1'!D10+1.3</f>
        <v>1.58</v>
      </c>
    </row>
    <row r="11" spans="1:4" ht="15.5" x14ac:dyDescent="0.35">
      <c r="A11" s="1">
        <v>10</v>
      </c>
      <c r="B11" s="1">
        <f>'Вариант 1'!B11+1.3</f>
        <v>10.850000000000001</v>
      </c>
      <c r="C11" s="1">
        <f>'Вариант 1'!C11+1.3</f>
        <v>2.6799999999999997</v>
      </c>
      <c r="D11" s="1">
        <f>'Вариант 1'!D11+1.3</f>
        <v>1.56</v>
      </c>
    </row>
    <row r="12" spans="1:4" ht="15.5" x14ac:dyDescent="0.35">
      <c r="A12" s="1">
        <v>11</v>
      </c>
      <c r="B12" s="1">
        <f>'Вариант 1'!B12+1.3</f>
        <v>11.600000000000001</v>
      </c>
      <c r="C12" s="1">
        <f>'Вариант 1'!C12+1.3</f>
        <v>2.25</v>
      </c>
      <c r="D12" s="1">
        <f>'Вариант 1'!D12+1.3</f>
        <v>1.53</v>
      </c>
    </row>
    <row r="13" spans="1:4" ht="15.5" x14ac:dyDescent="0.35">
      <c r="A13" s="1">
        <v>12</v>
      </c>
      <c r="B13" s="1">
        <f>'Вариант 1'!B13+1.3</f>
        <v>12.9</v>
      </c>
      <c r="C13" s="1">
        <f>'Вариант 1'!C13+1.3</f>
        <v>2.16</v>
      </c>
      <c r="D13" s="1">
        <f>'Вариант 1'!D13+1.3</f>
        <v>1.58</v>
      </c>
    </row>
    <row r="14" spans="1:4" ht="15.5" x14ac:dyDescent="0.35">
      <c r="A14" s="1">
        <v>13</v>
      </c>
      <c r="B14" s="1">
        <f>'Вариант 1'!B14+1.3</f>
        <v>13.700000000000001</v>
      </c>
      <c r="C14" s="1">
        <f>'Вариант 1'!C14+1.3</f>
        <v>2.27</v>
      </c>
      <c r="D14" s="1">
        <f>'Вариант 1'!D14+1.3</f>
        <v>1.57</v>
      </c>
    </row>
    <row r="15" spans="1:4" ht="15.5" x14ac:dyDescent="0.35">
      <c r="A15" s="1">
        <v>14</v>
      </c>
      <c r="B15" s="1">
        <f>'Вариант 1'!B15+1.3</f>
        <v>12.600000000000001</v>
      </c>
      <c r="C15" s="1">
        <f>'Вариант 1'!C15+1.3</f>
        <v>2.3600000000000003</v>
      </c>
      <c r="D15" s="1">
        <f>'Вариант 1'!D15+1.3</f>
        <v>1.56</v>
      </c>
    </row>
    <row r="16" spans="1:4" ht="15.5" x14ac:dyDescent="0.35">
      <c r="A16" s="1"/>
      <c r="B16" s="1"/>
      <c r="C16" s="1"/>
      <c r="D16" s="1"/>
    </row>
    <row r="17" spans="1:4" ht="15.5" x14ac:dyDescent="0.35">
      <c r="A17" s="1"/>
      <c r="B17" s="1"/>
      <c r="C17" s="1"/>
      <c r="D17" s="1"/>
    </row>
    <row r="18" spans="1:4" ht="15.5" x14ac:dyDescent="0.35">
      <c r="A18" s="1"/>
      <c r="B18" s="1"/>
      <c r="C18" s="1"/>
      <c r="D18" s="1"/>
    </row>
    <row r="19" spans="1:4" ht="15.5" x14ac:dyDescent="0.35">
      <c r="A19" s="1"/>
      <c r="B19" s="1"/>
      <c r="C19" s="1"/>
      <c r="D19" s="1"/>
    </row>
    <row r="20" spans="1:4" ht="15.5" x14ac:dyDescent="0.35">
      <c r="A20" s="1"/>
      <c r="B20" s="1"/>
      <c r="C20" s="1"/>
      <c r="D20" s="1"/>
    </row>
    <row r="21" spans="1:4" ht="15.5" x14ac:dyDescent="0.35">
      <c r="A21" s="1"/>
      <c r="B21" s="1"/>
      <c r="C21" s="1"/>
      <c r="D21" s="1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2"/>
  <sheetViews>
    <sheetView workbookViewId="0">
      <selection activeCell="B1" sqref="B1:D1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1'!B2+1.4</f>
        <v>11.1</v>
      </c>
      <c r="C2" s="1">
        <f>'Вариант 1'!C2+1.4</f>
        <v>2.99</v>
      </c>
      <c r="D2" s="1">
        <f>'Вариант 1'!D2+1.4</f>
        <v>1.65</v>
      </c>
    </row>
    <row r="3" spans="1:4" ht="15.5" x14ac:dyDescent="0.35">
      <c r="A3" s="1">
        <v>2</v>
      </c>
      <c r="B3" s="1">
        <f>'Вариант 1'!B3+1.4</f>
        <v>11.35</v>
      </c>
      <c r="C3" s="1">
        <f>'Вариант 1'!C3+1.4</f>
        <v>2.66</v>
      </c>
      <c r="D3" s="1">
        <f>'Вариант 1'!D3+1.4</f>
        <v>1.66</v>
      </c>
    </row>
    <row r="4" spans="1:4" ht="15.5" x14ac:dyDescent="0.35">
      <c r="A4" s="1">
        <v>3</v>
      </c>
      <c r="B4" s="1">
        <f>'Вариант 1'!B4+1.4</f>
        <v>9.8000000000000007</v>
      </c>
      <c r="C4" s="1">
        <f>'Вариант 1'!C4+1.4</f>
        <v>2.2799999999999998</v>
      </c>
      <c r="D4" s="1">
        <f>'Вариант 1'!D4+1.4</f>
        <v>1.69</v>
      </c>
    </row>
    <row r="5" spans="1:4" ht="15.5" x14ac:dyDescent="0.35">
      <c r="A5" s="1">
        <v>4</v>
      </c>
      <c r="B5" s="1">
        <f>'Вариант 1'!B5+1.4</f>
        <v>10.18</v>
      </c>
      <c r="C5" s="1">
        <f>'Вариант 1'!C5+1.4</f>
        <v>2.5299999999999998</v>
      </c>
      <c r="D5" s="1">
        <f>'Вариант 1'!D5+1.4</f>
        <v>1.67</v>
      </c>
    </row>
    <row r="6" spans="1:4" ht="15.5" x14ac:dyDescent="0.35">
      <c r="A6" s="1">
        <v>5</v>
      </c>
      <c r="B6" s="1">
        <f>'Вариант 1'!B6+1.4</f>
        <v>11.9</v>
      </c>
      <c r="C6" s="1">
        <f>'Вариант 1'!C6+1.4</f>
        <v>2.04</v>
      </c>
      <c r="D6" s="1">
        <f>'Вариант 1'!D6+1.4</f>
        <v>1.64</v>
      </c>
    </row>
    <row r="7" spans="1:4" ht="15.5" x14ac:dyDescent="0.35">
      <c r="A7" s="1">
        <v>6</v>
      </c>
      <c r="B7" s="1">
        <f>'Вариант 1'!B7+1.4</f>
        <v>12.6</v>
      </c>
      <c r="C7" s="1">
        <f>'Вариант 1'!C7+1.4</f>
        <v>1.9899999999999998</v>
      </c>
      <c r="D7" s="1">
        <f>'Вариант 1'!D7+1.4</f>
        <v>1.71</v>
      </c>
    </row>
    <row r="8" spans="1:4" ht="15.5" x14ac:dyDescent="0.35">
      <c r="A8" s="1">
        <v>7</v>
      </c>
      <c r="B8" s="1">
        <f>'Вариант 1'!B8+1.4</f>
        <v>13.4</v>
      </c>
      <c r="C8" s="1">
        <f>'Вариант 1'!C8+1.4</f>
        <v>2.13</v>
      </c>
      <c r="D8" s="1">
        <f>'Вариант 1'!D8+1.4</f>
        <v>1.67</v>
      </c>
    </row>
    <row r="9" spans="1:4" ht="15.5" x14ac:dyDescent="0.35">
      <c r="A9" s="1">
        <v>8</v>
      </c>
      <c r="B9" s="1">
        <f>'Вариант 1'!B9+1.4</f>
        <v>11.6</v>
      </c>
      <c r="C9" s="1">
        <f>'Вариант 1'!C9+1.4</f>
        <v>2.74</v>
      </c>
      <c r="D9" s="1">
        <f>'Вариант 1'!D9+1.4</f>
        <v>1.67</v>
      </c>
    </row>
    <row r="10" spans="1:4" ht="15.5" x14ac:dyDescent="0.35">
      <c r="A10" s="1">
        <v>9</v>
      </c>
      <c r="B10" s="1">
        <f>'Вариант 1'!B10+1.4</f>
        <v>11.07</v>
      </c>
      <c r="C10" s="1">
        <f>'Вариант 1'!C10+1.4</f>
        <v>2.46</v>
      </c>
      <c r="D10" s="1">
        <f>'Вариант 1'!D10+1.4</f>
        <v>1.68</v>
      </c>
    </row>
    <row r="11" spans="1:4" ht="15.5" x14ac:dyDescent="0.35">
      <c r="A11" s="1">
        <v>10</v>
      </c>
      <c r="B11" s="1">
        <f>'Вариант 1'!B11+1.4</f>
        <v>10.950000000000001</v>
      </c>
      <c r="C11" s="1">
        <f>'Вариант 1'!C11+1.4</f>
        <v>2.78</v>
      </c>
      <c r="D11" s="1">
        <f>'Вариант 1'!D11+1.4</f>
        <v>1.66</v>
      </c>
    </row>
    <row r="12" spans="1:4" ht="15.5" x14ac:dyDescent="0.35">
      <c r="A12" s="1">
        <v>11</v>
      </c>
      <c r="B12" s="1">
        <f>'Вариант 1'!B12+1.4</f>
        <v>11.700000000000001</v>
      </c>
      <c r="C12" s="1">
        <f>'Вариант 1'!C12+1.4</f>
        <v>2.3499999999999996</v>
      </c>
      <c r="D12" s="1">
        <f>'Вариант 1'!D12+1.4</f>
        <v>1.63</v>
      </c>
    </row>
    <row r="13" spans="1:4" ht="15.5" x14ac:dyDescent="0.35">
      <c r="A13" s="1">
        <v>12</v>
      </c>
      <c r="B13" s="1">
        <f>'Вариант 1'!B13+1.4</f>
        <v>13</v>
      </c>
      <c r="C13" s="1">
        <f>'Вариант 1'!C13+1.4</f>
        <v>2.2599999999999998</v>
      </c>
      <c r="D13" s="1">
        <f>'Вариант 1'!D13+1.4</f>
        <v>1.68</v>
      </c>
    </row>
    <row r="14" spans="1:4" ht="15.5" x14ac:dyDescent="0.35">
      <c r="A14" s="1">
        <v>13</v>
      </c>
      <c r="B14" s="1">
        <f>'Вариант 1'!B14+1.4</f>
        <v>13.8</v>
      </c>
      <c r="C14" s="1">
        <f>'Вариант 1'!C14+1.4</f>
        <v>2.37</v>
      </c>
      <c r="D14" s="1">
        <f>'Вариант 1'!D14+1.4</f>
        <v>1.67</v>
      </c>
    </row>
    <row r="15" spans="1:4" ht="15.5" x14ac:dyDescent="0.35">
      <c r="A15" s="1">
        <v>14</v>
      </c>
      <c r="B15" s="1">
        <f>'Вариант 1'!B15+1.4</f>
        <v>12.700000000000001</v>
      </c>
      <c r="C15" s="1">
        <f>'Вариант 1'!C15+1.4</f>
        <v>2.46</v>
      </c>
      <c r="D15" s="1">
        <f>'Вариант 1'!D15+1.4</f>
        <v>1.66</v>
      </c>
    </row>
    <row r="16" spans="1:4" ht="15.5" x14ac:dyDescent="0.35">
      <c r="A16" s="1"/>
      <c r="B16" s="1"/>
      <c r="C16" s="1"/>
      <c r="D16" s="1"/>
    </row>
    <row r="17" spans="1:4" ht="15.5" x14ac:dyDescent="0.35">
      <c r="A17" s="1"/>
      <c r="B17" s="1"/>
      <c r="C17" s="1"/>
      <c r="D17" s="1"/>
    </row>
    <row r="18" spans="1:4" ht="15.5" x14ac:dyDescent="0.35">
      <c r="A18" s="1"/>
      <c r="B18" s="1"/>
      <c r="C18" s="1"/>
      <c r="D18" s="1"/>
    </row>
    <row r="19" spans="1:4" ht="15.5" x14ac:dyDescent="0.35">
      <c r="A19" s="1"/>
      <c r="B19" s="1"/>
      <c r="C19" s="1"/>
      <c r="D19" s="1"/>
    </row>
    <row r="20" spans="1:4" ht="15.5" x14ac:dyDescent="0.35">
      <c r="A20" s="1"/>
      <c r="B20" s="1"/>
      <c r="C20" s="1"/>
      <c r="D20" s="1"/>
    </row>
    <row r="21" spans="1:4" ht="15.5" x14ac:dyDescent="0.35">
      <c r="A21" s="1"/>
      <c r="B21" s="1"/>
      <c r="C21" s="1"/>
      <c r="D21" s="1"/>
    </row>
    <row r="22" spans="1:4" ht="15.5" x14ac:dyDescent="0.35">
      <c r="B22" s="1"/>
      <c r="C22" s="1"/>
      <c r="D22" s="1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>
      <selection activeCell="F9" sqref="F9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1'!B2+1.5</f>
        <v>11.2</v>
      </c>
      <c r="C2" s="1">
        <f>'Вариант 1'!C2+1.5</f>
        <v>3.09</v>
      </c>
      <c r="D2" s="1">
        <f>'Вариант 1'!D2+1.5</f>
        <v>1.75</v>
      </c>
    </row>
    <row r="3" spans="1:4" ht="15.5" x14ac:dyDescent="0.35">
      <c r="A3" s="1">
        <v>2</v>
      </c>
      <c r="B3" s="1">
        <f>'Вариант 1'!B3+1.5</f>
        <v>11.45</v>
      </c>
      <c r="C3" s="1">
        <f>'Вариант 1'!C3+1.5</f>
        <v>2.76</v>
      </c>
      <c r="D3" s="1">
        <f>'Вариант 1'!D3+1.5</f>
        <v>1.76</v>
      </c>
    </row>
    <row r="4" spans="1:4" ht="15.5" x14ac:dyDescent="0.35">
      <c r="A4" s="1">
        <v>3</v>
      </c>
      <c r="B4" s="1">
        <f>'Вариант 1'!B4+1.5</f>
        <v>9.9</v>
      </c>
      <c r="C4" s="1">
        <f>'Вариант 1'!C4+1.5</f>
        <v>2.38</v>
      </c>
      <c r="D4" s="1">
        <f>'Вариант 1'!D4+1.5</f>
        <v>1.79</v>
      </c>
    </row>
    <row r="5" spans="1:4" ht="15.5" x14ac:dyDescent="0.35">
      <c r="A5" s="1">
        <v>4</v>
      </c>
      <c r="B5" s="1">
        <f>'Вариант 1'!B5+1.5</f>
        <v>10.28</v>
      </c>
      <c r="C5" s="1">
        <f>'Вариант 1'!C5+1.5</f>
        <v>2.63</v>
      </c>
      <c r="D5" s="1">
        <f>'Вариант 1'!D5+1.5</f>
        <v>1.77</v>
      </c>
    </row>
    <row r="6" spans="1:4" ht="15.5" x14ac:dyDescent="0.35">
      <c r="A6" s="1">
        <v>5</v>
      </c>
      <c r="B6" s="1">
        <f>'Вариант 1'!B6+1.5</f>
        <v>12</v>
      </c>
      <c r="C6" s="1">
        <f>'Вариант 1'!C6+1.5</f>
        <v>2.14</v>
      </c>
      <c r="D6" s="1">
        <f>'Вариант 1'!D6+1.5</f>
        <v>1.74</v>
      </c>
    </row>
    <row r="7" spans="1:4" ht="15.5" x14ac:dyDescent="0.35">
      <c r="A7" s="1">
        <v>6</v>
      </c>
      <c r="B7" s="1">
        <f>'Вариант 1'!B7+1.5</f>
        <v>12.7</v>
      </c>
      <c r="C7" s="1">
        <f>'Вариант 1'!C7+1.5</f>
        <v>2.09</v>
      </c>
      <c r="D7" s="1">
        <f>'Вариант 1'!D7+1.5</f>
        <v>1.81</v>
      </c>
    </row>
    <row r="8" spans="1:4" ht="15.5" x14ac:dyDescent="0.35">
      <c r="A8" s="1">
        <v>7</v>
      </c>
      <c r="B8" s="1">
        <f>'Вариант 1'!B8+1.5</f>
        <v>13.5</v>
      </c>
      <c r="C8" s="1">
        <f>'Вариант 1'!C8+1.5</f>
        <v>2.23</v>
      </c>
      <c r="D8" s="1">
        <f>'Вариант 1'!D8+1.5</f>
        <v>1.77</v>
      </c>
    </row>
    <row r="9" spans="1:4" ht="15.5" x14ac:dyDescent="0.35">
      <c r="A9" s="1">
        <v>8</v>
      </c>
      <c r="B9" s="1">
        <f>'Вариант 1'!B9+1.5</f>
        <v>11.7</v>
      </c>
      <c r="C9" s="1">
        <f>'Вариант 1'!C9+1.5</f>
        <v>2.84</v>
      </c>
      <c r="D9" s="1">
        <f>'Вариант 1'!D9+1.5</f>
        <v>1.77</v>
      </c>
    </row>
    <row r="10" spans="1:4" ht="15.5" x14ac:dyDescent="0.35">
      <c r="A10" s="1">
        <v>9</v>
      </c>
      <c r="B10" s="1">
        <f>'Вариант 1'!B10+1.5</f>
        <v>11.17</v>
      </c>
      <c r="C10" s="1">
        <f>'Вариант 1'!C10+1.5</f>
        <v>2.56</v>
      </c>
      <c r="D10" s="1">
        <f>'Вариант 1'!D10+1.5</f>
        <v>1.78</v>
      </c>
    </row>
    <row r="11" spans="1:4" ht="15.5" x14ac:dyDescent="0.35">
      <c r="A11" s="1">
        <v>10</v>
      </c>
      <c r="B11" s="1">
        <f>'Вариант 1'!B11+1.5</f>
        <v>11.05</v>
      </c>
      <c r="C11" s="1">
        <f>'Вариант 1'!C11+1.5</f>
        <v>2.88</v>
      </c>
      <c r="D11" s="1">
        <f>'Вариант 1'!D11+1.5</f>
        <v>1.76</v>
      </c>
    </row>
    <row r="12" spans="1:4" ht="15.5" x14ac:dyDescent="0.35">
      <c r="A12" s="1">
        <v>11</v>
      </c>
      <c r="B12" s="1">
        <f>'Вариант 1'!B12+1.5</f>
        <v>11.8</v>
      </c>
      <c r="C12" s="1">
        <f>'Вариант 1'!C12+1.5</f>
        <v>2.4500000000000002</v>
      </c>
      <c r="D12" s="1">
        <f>'Вариант 1'!D12+1.5</f>
        <v>1.73</v>
      </c>
    </row>
    <row r="13" spans="1:4" ht="15.5" x14ac:dyDescent="0.35">
      <c r="A13" s="1">
        <v>12</v>
      </c>
      <c r="B13" s="1">
        <f>'Вариант 1'!B13+1.5</f>
        <v>13.1</v>
      </c>
      <c r="C13" s="1">
        <f>'Вариант 1'!C13+1.5</f>
        <v>2.36</v>
      </c>
      <c r="D13" s="1">
        <f>'Вариант 1'!D13+1.5</f>
        <v>1.78</v>
      </c>
    </row>
    <row r="14" spans="1:4" ht="15.5" x14ac:dyDescent="0.35">
      <c r="A14" s="1">
        <v>13</v>
      </c>
      <c r="B14" s="1">
        <f>'Вариант 1'!B14+1.5</f>
        <v>13.9</v>
      </c>
      <c r="C14" s="1">
        <f>'Вариант 1'!C14+1.5</f>
        <v>2.4699999999999998</v>
      </c>
      <c r="D14" s="1">
        <f>'Вариант 1'!D14+1.5</f>
        <v>1.77</v>
      </c>
    </row>
    <row r="15" spans="1:4" ht="15.5" x14ac:dyDescent="0.35">
      <c r="A15" s="1">
        <v>14</v>
      </c>
      <c r="B15" s="1">
        <f>'Вариант 1'!B15+1.5</f>
        <v>12.8</v>
      </c>
      <c r="C15" s="1">
        <f>'Вариант 1'!C15+1.5</f>
        <v>2.56</v>
      </c>
      <c r="D15" s="1">
        <f>'Вариант 1'!D15+1.5</f>
        <v>1.76</v>
      </c>
    </row>
    <row r="16" spans="1:4" ht="15.5" x14ac:dyDescent="0.35">
      <c r="A16" s="1"/>
      <c r="B16" s="1"/>
      <c r="C16" s="1"/>
      <c r="D16" s="1"/>
    </row>
    <row r="17" spans="1:4" ht="15.5" x14ac:dyDescent="0.35">
      <c r="A17" s="1"/>
      <c r="B17" s="1"/>
      <c r="C17" s="1"/>
      <c r="D17" s="1"/>
    </row>
    <row r="18" spans="1:4" ht="15.5" x14ac:dyDescent="0.35">
      <c r="A18" s="1"/>
      <c r="B18" s="1"/>
      <c r="C18" s="1"/>
      <c r="D18" s="1"/>
    </row>
    <row r="19" spans="1:4" ht="15.5" x14ac:dyDescent="0.35">
      <c r="A19" s="1"/>
      <c r="B19" s="1"/>
      <c r="C19" s="1"/>
      <c r="D19" s="1"/>
    </row>
    <row r="20" spans="1:4" ht="15.5" x14ac:dyDescent="0.35">
      <c r="A20" s="1"/>
      <c r="B20" s="1"/>
      <c r="C20" s="1"/>
      <c r="D20" s="1"/>
    </row>
    <row r="21" spans="1:4" ht="15.5" x14ac:dyDescent="0.35">
      <c r="A21" s="1"/>
      <c r="B21" s="1"/>
      <c r="C21" s="1"/>
      <c r="D21" s="1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1"/>
  <sheetViews>
    <sheetView workbookViewId="0">
      <selection activeCell="H14" sqref="H14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1'!B2+1.6</f>
        <v>11.299999999999999</v>
      </c>
      <c r="C2" s="1">
        <f>'Вариант 1'!C2+1.6</f>
        <v>3.1900000000000004</v>
      </c>
      <c r="D2" s="1">
        <f>'Вариант 1'!D2+1.6</f>
        <v>1.85</v>
      </c>
    </row>
    <row r="3" spans="1:4" ht="15.5" x14ac:dyDescent="0.35">
      <c r="A3" s="1">
        <v>2</v>
      </c>
      <c r="B3" s="1">
        <f>'Вариант 1'!B3+1.6</f>
        <v>11.549999999999999</v>
      </c>
      <c r="C3" s="1">
        <f>'Вариант 1'!C3+1.6</f>
        <v>2.8600000000000003</v>
      </c>
      <c r="D3" s="1">
        <f>'Вариант 1'!D3+1.6</f>
        <v>1.86</v>
      </c>
    </row>
    <row r="4" spans="1:4" ht="15.5" x14ac:dyDescent="0.35">
      <c r="A4" s="1">
        <v>3</v>
      </c>
      <c r="B4" s="1">
        <f>'Вариант 1'!B4+1.6</f>
        <v>10</v>
      </c>
      <c r="C4" s="1">
        <f>'Вариант 1'!C4+1.6</f>
        <v>2.48</v>
      </c>
      <c r="D4" s="1">
        <f>'Вариант 1'!D4+1.6</f>
        <v>1.8900000000000001</v>
      </c>
    </row>
    <row r="5" spans="1:4" ht="15.5" x14ac:dyDescent="0.35">
      <c r="A5" s="1">
        <v>4</v>
      </c>
      <c r="B5" s="1">
        <f>'Вариант 1'!B5+1.6</f>
        <v>10.379999999999999</v>
      </c>
      <c r="C5" s="1">
        <f>'Вариант 1'!C5+1.6</f>
        <v>2.73</v>
      </c>
      <c r="D5" s="1">
        <f>'Вариант 1'!D5+1.6</f>
        <v>1.87</v>
      </c>
    </row>
    <row r="6" spans="1:4" ht="15.5" x14ac:dyDescent="0.35">
      <c r="A6" s="1">
        <v>5</v>
      </c>
      <c r="B6" s="1">
        <f>'Вариант 1'!B6+1.6</f>
        <v>12.1</v>
      </c>
      <c r="C6" s="1">
        <f>'Вариант 1'!C6+1.6</f>
        <v>2.2400000000000002</v>
      </c>
      <c r="D6" s="1">
        <f>'Вариант 1'!D6+1.6</f>
        <v>1.84</v>
      </c>
    </row>
    <row r="7" spans="1:4" ht="15.5" x14ac:dyDescent="0.35">
      <c r="A7" s="1">
        <v>6</v>
      </c>
      <c r="B7" s="1">
        <f>'Вариант 1'!B7+1.6</f>
        <v>12.799999999999999</v>
      </c>
      <c r="C7" s="1">
        <f>'Вариант 1'!C7+1.6</f>
        <v>2.19</v>
      </c>
      <c r="D7" s="1">
        <f>'Вариант 1'!D7+1.6</f>
        <v>1.9100000000000001</v>
      </c>
    </row>
    <row r="8" spans="1:4" ht="15.5" x14ac:dyDescent="0.35">
      <c r="A8" s="1">
        <v>7</v>
      </c>
      <c r="B8" s="1">
        <f>'Вариант 1'!B8+1.6</f>
        <v>13.6</v>
      </c>
      <c r="C8" s="1">
        <f>'Вариант 1'!C8+1.6</f>
        <v>2.33</v>
      </c>
      <c r="D8" s="1">
        <f>'Вариант 1'!D8+1.6</f>
        <v>1.87</v>
      </c>
    </row>
    <row r="9" spans="1:4" ht="15.5" x14ac:dyDescent="0.35">
      <c r="A9" s="1">
        <v>8</v>
      </c>
      <c r="B9" s="1">
        <f>'Вариант 1'!B9+1.6</f>
        <v>11.799999999999999</v>
      </c>
      <c r="C9" s="1">
        <f>'Вариант 1'!C9+1.6</f>
        <v>2.9400000000000004</v>
      </c>
      <c r="D9" s="1">
        <f>'Вариант 1'!D9+1.6</f>
        <v>1.87</v>
      </c>
    </row>
    <row r="10" spans="1:4" ht="15.5" x14ac:dyDescent="0.35">
      <c r="A10" s="1">
        <v>9</v>
      </c>
      <c r="B10" s="1">
        <f>'Вариант 1'!B10+1.6</f>
        <v>11.27</v>
      </c>
      <c r="C10" s="1">
        <f>'Вариант 1'!C10+1.6</f>
        <v>2.66</v>
      </c>
      <c r="D10" s="1">
        <f>'Вариант 1'!D10+1.6</f>
        <v>1.8800000000000001</v>
      </c>
    </row>
    <row r="11" spans="1:4" ht="15.5" x14ac:dyDescent="0.35">
      <c r="A11" s="1">
        <v>10</v>
      </c>
      <c r="B11" s="1">
        <f>'Вариант 1'!B11+1.6</f>
        <v>11.15</v>
      </c>
      <c r="C11" s="1">
        <f>'Вариант 1'!C11+1.6</f>
        <v>2.98</v>
      </c>
      <c r="D11" s="1">
        <f>'Вариант 1'!D11+1.6</f>
        <v>1.86</v>
      </c>
    </row>
    <row r="12" spans="1:4" ht="15.5" x14ac:dyDescent="0.35">
      <c r="A12" s="1">
        <v>11</v>
      </c>
      <c r="B12" s="1">
        <f>'Вариант 1'!B12+1.6</f>
        <v>11.9</v>
      </c>
      <c r="C12" s="1">
        <f>'Вариант 1'!C12+1.6</f>
        <v>2.5499999999999998</v>
      </c>
      <c r="D12" s="1">
        <f>'Вариант 1'!D12+1.6</f>
        <v>1.83</v>
      </c>
    </row>
    <row r="13" spans="1:4" ht="15.5" x14ac:dyDescent="0.35">
      <c r="A13" s="1">
        <v>12</v>
      </c>
      <c r="B13" s="1">
        <f>'Вариант 1'!B13+1.6</f>
        <v>13.2</v>
      </c>
      <c r="C13" s="1">
        <f>'Вариант 1'!C13+1.6</f>
        <v>2.46</v>
      </c>
      <c r="D13" s="1">
        <f>'Вариант 1'!D13+1.6</f>
        <v>1.8800000000000001</v>
      </c>
    </row>
    <row r="14" spans="1:4" ht="15.5" x14ac:dyDescent="0.35">
      <c r="A14" s="1">
        <v>13</v>
      </c>
      <c r="B14" s="1">
        <f>'Вариант 1'!B14+1.6</f>
        <v>14</v>
      </c>
      <c r="C14" s="1">
        <f>'Вариант 1'!C14+1.6</f>
        <v>2.5700000000000003</v>
      </c>
      <c r="D14" s="1">
        <f>'Вариант 1'!D14+1.6</f>
        <v>1.87</v>
      </c>
    </row>
    <row r="15" spans="1:4" ht="15.5" x14ac:dyDescent="0.35">
      <c r="A15" s="1">
        <v>14</v>
      </c>
      <c r="B15" s="1">
        <f>'Вариант 1'!B15+1.6</f>
        <v>12.9</v>
      </c>
      <c r="C15" s="1">
        <f>'Вариант 1'!C15+1.6</f>
        <v>2.66</v>
      </c>
      <c r="D15" s="1">
        <f>'Вариант 1'!D15+1.6</f>
        <v>1.86</v>
      </c>
    </row>
    <row r="16" spans="1:4" ht="15.5" x14ac:dyDescent="0.35">
      <c r="A16" s="1"/>
      <c r="B16" s="1"/>
      <c r="C16" s="1"/>
      <c r="D16" s="1"/>
    </row>
    <row r="17" spans="1:4" ht="15.5" x14ac:dyDescent="0.35">
      <c r="A17" s="1"/>
      <c r="B17" s="1"/>
      <c r="C17" s="1"/>
      <c r="D17" s="1"/>
    </row>
    <row r="18" spans="1:4" ht="15.5" x14ac:dyDescent="0.35">
      <c r="A18" s="1"/>
      <c r="B18" s="1"/>
      <c r="C18" s="1"/>
      <c r="D18" s="1"/>
    </row>
    <row r="19" spans="1:4" ht="15.5" x14ac:dyDescent="0.35">
      <c r="A19" s="1"/>
      <c r="B19" s="1"/>
      <c r="C19" s="1"/>
      <c r="D19" s="1"/>
    </row>
    <row r="20" spans="1:4" ht="15.5" x14ac:dyDescent="0.35">
      <c r="A20" s="1"/>
      <c r="B20" s="1"/>
      <c r="C20" s="1"/>
      <c r="D20" s="1"/>
    </row>
    <row r="21" spans="1:4" ht="15.5" x14ac:dyDescent="0.35">
      <c r="A21" s="1"/>
      <c r="B21" s="1"/>
      <c r="C21" s="1"/>
      <c r="D21" s="1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1"/>
  <sheetViews>
    <sheetView workbookViewId="0">
      <selection activeCell="G14" sqref="G14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1'!B2+1.7</f>
        <v>11.399999999999999</v>
      </c>
      <c r="C2" s="1">
        <f>'Вариант 1'!C2+1.7</f>
        <v>3.29</v>
      </c>
      <c r="D2" s="1">
        <f>'Вариант 1'!D2+1.7</f>
        <v>1.95</v>
      </c>
    </row>
    <row r="3" spans="1:4" ht="15.5" x14ac:dyDescent="0.35">
      <c r="A3" s="1">
        <v>2</v>
      </c>
      <c r="B3" s="1">
        <f>'Вариант 1'!B3+1.7</f>
        <v>11.649999999999999</v>
      </c>
      <c r="C3" s="1">
        <f>'Вариант 1'!C3+1.7</f>
        <v>2.96</v>
      </c>
      <c r="D3" s="1">
        <f>'Вариант 1'!D3+1.7</f>
        <v>1.96</v>
      </c>
    </row>
    <row r="4" spans="1:4" ht="15.5" x14ac:dyDescent="0.35">
      <c r="A4" s="1">
        <v>3</v>
      </c>
      <c r="B4" s="1">
        <f>'Вариант 1'!B4+1.7</f>
        <v>10.1</v>
      </c>
      <c r="C4" s="1">
        <f>'Вариант 1'!C4+1.7</f>
        <v>2.58</v>
      </c>
      <c r="D4" s="1">
        <f>'Вариант 1'!D4+1.7</f>
        <v>1.99</v>
      </c>
    </row>
    <row r="5" spans="1:4" ht="15.5" x14ac:dyDescent="0.35">
      <c r="A5" s="1">
        <v>4</v>
      </c>
      <c r="B5" s="1">
        <f>'Вариант 1'!B5+1.7</f>
        <v>10.479999999999999</v>
      </c>
      <c r="C5" s="1">
        <f>'Вариант 1'!C5+1.7</f>
        <v>2.83</v>
      </c>
      <c r="D5" s="1">
        <f>'Вариант 1'!D5+1.7</f>
        <v>1.97</v>
      </c>
    </row>
    <row r="6" spans="1:4" ht="15.5" x14ac:dyDescent="0.35">
      <c r="A6" s="1">
        <v>5</v>
      </c>
      <c r="B6" s="1">
        <f>'Вариант 1'!B6+1.7</f>
        <v>12.2</v>
      </c>
      <c r="C6" s="1">
        <f>'Вариант 1'!C6+1.7</f>
        <v>2.34</v>
      </c>
      <c r="D6" s="1">
        <f>'Вариант 1'!D6+1.7</f>
        <v>1.94</v>
      </c>
    </row>
    <row r="7" spans="1:4" ht="15.5" x14ac:dyDescent="0.35">
      <c r="A7" s="1">
        <v>6</v>
      </c>
      <c r="B7" s="1">
        <f>'Вариант 1'!B7+1.7</f>
        <v>12.899999999999999</v>
      </c>
      <c r="C7" s="1">
        <f>'Вариант 1'!C7+1.7</f>
        <v>2.29</v>
      </c>
      <c r="D7" s="1">
        <f>'Вариант 1'!D7+1.7</f>
        <v>2.0099999999999998</v>
      </c>
    </row>
    <row r="8" spans="1:4" ht="15.5" x14ac:dyDescent="0.35">
      <c r="A8" s="1">
        <v>7</v>
      </c>
      <c r="B8" s="1">
        <f>'Вариант 1'!B8+1.7</f>
        <v>13.7</v>
      </c>
      <c r="C8" s="1">
        <f>'Вариант 1'!C8+1.7</f>
        <v>2.4299999999999997</v>
      </c>
      <c r="D8" s="1">
        <f>'Вариант 1'!D8+1.7</f>
        <v>1.97</v>
      </c>
    </row>
    <row r="9" spans="1:4" ht="15.5" x14ac:dyDescent="0.35">
      <c r="A9" s="1">
        <v>8</v>
      </c>
      <c r="B9" s="1">
        <f>'Вариант 1'!B9+1.7</f>
        <v>11.899999999999999</v>
      </c>
      <c r="C9" s="1">
        <f>'Вариант 1'!C9+1.7</f>
        <v>3.04</v>
      </c>
      <c r="D9" s="1">
        <f>'Вариант 1'!D9+1.7</f>
        <v>1.97</v>
      </c>
    </row>
    <row r="10" spans="1:4" ht="15.5" x14ac:dyDescent="0.35">
      <c r="A10" s="1">
        <v>9</v>
      </c>
      <c r="B10" s="1">
        <f>'Вариант 1'!B10+1.7</f>
        <v>11.37</v>
      </c>
      <c r="C10" s="1">
        <f>'Вариант 1'!C10+1.7</f>
        <v>2.76</v>
      </c>
      <c r="D10" s="1">
        <f>'Вариант 1'!D10+1.7</f>
        <v>1.98</v>
      </c>
    </row>
    <row r="11" spans="1:4" ht="15.5" x14ac:dyDescent="0.35">
      <c r="A11" s="1">
        <v>10</v>
      </c>
      <c r="B11" s="1">
        <f>'Вариант 1'!B11+1.7</f>
        <v>11.25</v>
      </c>
      <c r="C11" s="1">
        <f>'Вариант 1'!C11+1.7</f>
        <v>3.08</v>
      </c>
      <c r="D11" s="1">
        <f>'Вариант 1'!D11+1.7</f>
        <v>1.96</v>
      </c>
    </row>
    <row r="12" spans="1:4" ht="15.5" x14ac:dyDescent="0.35">
      <c r="A12" s="1">
        <v>11</v>
      </c>
      <c r="B12" s="1">
        <f>'Вариант 1'!B12+1.7</f>
        <v>12</v>
      </c>
      <c r="C12" s="1">
        <f>'Вариант 1'!C12+1.7</f>
        <v>2.65</v>
      </c>
      <c r="D12" s="1">
        <f>'Вариант 1'!D12+1.7</f>
        <v>1.93</v>
      </c>
    </row>
    <row r="13" spans="1:4" ht="15.5" x14ac:dyDescent="0.35">
      <c r="A13" s="1">
        <v>12</v>
      </c>
      <c r="B13" s="1">
        <f>'Вариант 1'!B13+1.7</f>
        <v>13.299999999999999</v>
      </c>
      <c r="C13" s="1">
        <f>'Вариант 1'!C13+1.7</f>
        <v>2.56</v>
      </c>
      <c r="D13" s="1">
        <f>'Вариант 1'!D13+1.7</f>
        <v>1.98</v>
      </c>
    </row>
    <row r="14" spans="1:4" ht="15.5" x14ac:dyDescent="0.35">
      <c r="A14" s="1">
        <v>13</v>
      </c>
      <c r="B14" s="1">
        <f>'Вариант 1'!B14+1.7</f>
        <v>14.1</v>
      </c>
      <c r="C14" s="1">
        <f>'Вариант 1'!C14+1.7</f>
        <v>2.67</v>
      </c>
      <c r="D14" s="1">
        <f>'Вариант 1'!D14+1.7</f>
        <v>1.97</v>
      </c>
    </row>
    <row r="15" spans="1:4" ht="15.5" x14ac:dyDescent="0.35">
      <c r="A15" s="1">
        <v>14</v>
      </c>
      <c r="B15" s="1">
        <f>'Вариант 1'!B15+1.7</f>
        <v>13</v>
      </c>
      <c r="C15" s="1">
        <f>'Вариант 1'!C15+1.7</f>
        <v>2.76</v>
      </c>
      <c r="D15" s="1">
        <f>'Вариант 1'!D15+1.7</f>
        <v>1.96</v>
      </c>
    </row>
    <row r="16" spans="1:4" ht="15.5" x14ac:dyDescent="0.35">
      <c r="A16" s="1"/>
      <c r="B16" s="1"/>
      <c r="C16" s="1"/>
      <c r="D16" s="1"/>
    </row>
    <row r="17" spans="1:4" ht="15.5" x14ac:dyDescent="0.35">
      <c r="A17" s="1"/>
      <c r="B17" s="1"/>
      <c r="C17" s="1"/>
      <c r="D17" s="1"/>
    </row>
    <row r="18" spans="1:4" ht="15.5" x14ac:dyDescent="0.35">
      <c r="A18" s="1"/>
      <c r="B18" s="1"/>
      <c r="C18" s="1"/>
      <c r="D18" s="1"/>
    </row>
    <row r="19" spans="1:4" ht="15.5" x14ac:dyDescent="0.35">
      <c r="A19" s="1"/>
      <c r="B19" s="1"/>
      <c r="C19" s="1"/>
      <c r="D19" s="1"/>
    </row>
    <row r="20" spans="1:4" ht="15.5" x14ac:dyDescent="0.35">
      <c r="A20" s="1"/>
      <c r="B20" s="1"/>
      <c r="C20" s="1"/>
      <c r="D20" s="1"/>
    </row>
    <row r="21" spans="1:4" ht="15.5" x14ac:dyDescent="0.35">
      <c r="A21" s="1"/>
      <c r="B21" s="1"/>
      <c r="C21" s="1"/>
      <c r="D21" s="1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1"/>
  <sheetViews>
    <sheetView workbookViewId="0">
      <selection activeCell="B1" sqref="B1:D1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1'!B2+1.8</f>
        <v>11.5</v>
      </c>
      <c r="C2" s="1">
        <f>'Вариант 1'!C2+1.8</f>
        <v>3.39</v>
      </c>
      <c r="D2" s="1">
        <f>'Вариант 1'!D2+1.8</f>
        <v>2.0499999999999998</v>
      </c>
    </row>
    <row r="3" spans="1:4" ht="15.5" x14ac:dyDescent="0.35">
      <c r="A3" s="1">
        <v>2</v>
      </c>
      <c r="B3" s="1">
        <f>'Вариант 1'!B3+1.8</f>
        <v>11.75</v>
      </c>
      <c r="C3" s="1">
        <f>'Вариант 1'!C3+1.8</f>
        <v>3.06</v>
      </c>
      <c r="D3" s="1">
        <f>'Вариант 1'!D3+1.8</f>
        <v>2.06</v>
      </c>
    </row>
    <row r="4" spans="1:4" ht="15.5" x14ac:dyDescent="0.35">
      <c r="A4" s="1">
        <v>3</v>
      </c>
      <c r="B4" s="1">
        <f>'Вариант 1'!B4+1.8</f>
        <v>10.200000000000001</v>
      </c>
      <c r="C4" s="1">
        <f>'Вариант 1'!C4+1.8</f>
        <v>2.68</v>
      </c>
      <c r="D4" s="1">
        <f>'Вариант 1'!D4+1.8</f>
        <v>2.09</v>
      </c>
    </row>
    <row r="5" spans="1:4" ht="15.5" x14ac:dyDescent="0.35">
      <c r="A5" s="1">
        <v>4</v>
      </c>
      <c r="B5" s="1">
        <f>'Вариант 1'!B5+1.8</f>
        <v>10.58</v>
      </c>
      <c r="C5" s="1">
        <f>'Вариант 1'!C5+1.8</f>
        <v>2.9299999999999997</v>
      </c>
      <c r="D5" s="1">
        <f>'Вариант 1'!D5+1.8</f>
        <v>2.0700000000000003</v>
      </c>
    </row>
    <row r="6" spans="1:4" ht="15.5" x14ac:dyDescent="0.35">
      <c r="A6" s="1">
        <v>5</v>
      </c>
      <c r="B6" s="1">
        <f>'Вариант 1'!B6+1.8</f>
        <v>12.3</v>
      </c>
      <c r="C6" s="1">
        <f>'Вариант 1'!C6+1.8</f>
        <v>2.44</v>
      </c>
      <c r="D6" s="1">
        <f>'Вариант 1'!D6+1.8</f>
        <v>2.04</v>
      </c>
    </row>
    <row r="7" spans="1:4" ht="15.5" x14ac:dyDescent="0.35">
      <c r="A7" s="1">
        <v>6</v>
      </c>
      <c r="B7" s="1">
        <f>'Вариант 1'!B7+1.8</f>
        <v>13</v>
      </c>
      <c r="C7" s="1">
        <f>'Вариант 1'!C7+1.8</f>
        <v>2.39</v>
      </c>
      <c r="D7" s="1">
        <f>'Вариант 1'!D7+1.8</f>
        <v>2.11</v>
      </c>
    </row>
    <row r="8" spans="1:4" ht="15.5" x14ac:dyDescent="0.35">
      <c r="A8" s="1">
        <v>7</v>
      </c>
      <c r="B8" s="1">
        <f>'Вариант 1'!B8+1.8</f>
        <v>13.8</v>
      </c>
      <c r="C8" s="1">
        <f>'Вариант 1'!C8+1.8</f>
        <v>2.5300000000000002</v>
      </c>
      <c r="D8" s="1">
        <f>'Вариант 1'!D8+1.8</f>
        <v>2.0700000000000003</v>
      </c>
    </row>
    <row r="9" spans="1:4" ht="15.5" x14ac:dyDescent="0.35">
      <c r="A9" s="1">
        <v>8</v>
      </c>
      <c r="B9" s="1">
        <f>'Вариант 1'!B9+1.8</f>
        <v>12</v>
      </c>
      <c r="C9" s="1">
        <f>'Вариант 1'!C9+1.8</f>
        <v>3.14</v>
      </c>
      <c r="D9" s="1">
        <f>'Вариант 1'!D9+1.8</f>
        <v>2.0700000000000003</v>
      </c>
    </row>
    <row r="10" spans="1:4" ht="15.5" x14ac:dyDescent="0.35">
      <c r="A10" s="1">
        <v>9</v>
      </c>
      <c r="B10" s="1">
        <f>'Вариант 1'!B10+1.8</f>
        <v>11.47</v>
      </c>
      <c r="C10" s="1">
        <f>'Вариант 1'!C10+1.8</f>
        <v>2.8600000000000003</v>
      </c>
      <c r="D10" s="1">
        <f>'Вариант 1'!D10+1.8</f>
        <v>2.08</v>
      </c>
    </row>
    <row r="11" spans="1:4" ht="15.5" x14ac:dyDescent="0.35">
      <c r="A11" s="1">
        <v>10</v>
      </c>
      <c r="B11" s="1">
        <f>'Вариант 1'!B11+1.8</f>
        <v>11.350000000000001</v>
      </c>
      <c r="C11" s="1">
        <f>'Вариант 1'!C11+1.8</f>
        <v>3.1799999999999997</v>
      </c>
      <c r="D11" s="1">
        <f>'Вариант 1'!D11+1.8</f>
        <v>2.06</v>
      </c>
    </row>
    <row r="12" spans="1:4" ht="15.5" x14ac:dyDescent="0.35">
      <c r="A12" s="1">
        <v>11</v>
      </c>
      <c r="B12" s="1">
        <f>'Вариант 1'!B12+1.8</f>
        <v>12.100000000000001</v>
      </c>
      <c r="C12" s="1">
        <f>'Вариант 1'!C12+1.8</f>
        <v>2.75</v>
      </c>
      <c r="D12" s="1">
        <f>'Вариант 1'!D12+1.8</f>
        <v>2.0300000000000002</v>
      </c>
    </row>
    <row r="13" spans="1:4" ht="15.5" x14ac:dyDescent="0.35">
      <c r="A13" s="1">
        <v>12</v>
      </c>
      <c r="B13" s="1">
        <f>'Вариант 1'!B13+1.8</f>
        <v>13.4</v>
      </c>
      <c r="C13" s="1">
        <f>'Вариант 1'!C13+1.8</f>
        <v>2.66</v>
      </c>
      <c r="D13" s="1">
        <f>'Вариант 1'!D13+1.8</f>
        <v>2.08</v>
      </c>
    </row>
    <row r="14" spans="1:4" ht="15.5" x14ac:dyDescent="0.35">
      <c r="A14" s="1">
        <v>13</v>
      </c>
      <c r="B14" s="1">
        <f>'Вариант 1'!B14+1.8</f>
        <v>14.200000000000001</v>
      </c>
      <c r="C14" s="1">
        <f>'Вариант 1'!C14+1.8</f>
        <v>2.77</v>
      </c>
      <c r="D14" s="1">
        <f>'Вариант 1'!D14+1.8</f>
        <v>2.0700000000000003</v>
      </c>
    </row>
    <row r="15" spans="1:4" ht="15.5" x14ac:dyDescent="0.35">
      <c r="A15" s="1">
        <v>14</v>
      </c>
      <c r="B15" s="1">
        <f>'Вариант 1'!B15+1.8</f>
        <v>13.100000000000001</v>
      </c>
      <c r="C15" s="1">
        <f>'Вариант 1'!C15+1.8</f>
        <v>2.8600000000000003</v>
      </c>
      <c r="D15" s="1">
        <f>'Вариант 1'!D15+1.8</f>
        <v>2.06</v>
      </c>
    </row>
    <row r="16" spans="1:4" ht="15.5" x14ac:dyDescent="0.35">
      <c r="A16" s="1"/>
      <c r="B16" s="1"/>
      <c r="C16" s="1"/>
      <c r="D16" s="1"/>
    </row>
    <row r="17" spans="1:4" ht="15.5" x14ac:dyDescent="0.35">
      <c r="A17" s="1"/>
      <c r="B17" s="1"/>
      <c r="C17" s="1"/>
      <c r="D17" s="1"/>
    </row>
    <row r="18" spans="1:4" ht="15.5" x14ac:dyDescent="0.35">
      <c r="A18" s="1"/>
      <c r="B18" s="1"/>
      <c r="C18" s="1"/>
      <c r="D18" s="1"/>
    </row>
    <row r="19" spans="1:4" ht="15.5" x14ac:dyDescent="0.35">
      <c r="A19" s="1"/>
      <c r="B19" s="1"/>
      <c r="C19" s="1"/>
      <c r="D19" s="1"/>
    </row>
    <row r="20" spans="1:4" ht="15.5" x14ac:dyDescent="0.35">
      <c r="A20" s="1"/>
      <c r="B20" s="1"/>
      <c r="C20" s="1"/>
      <c r="D20" s="1"/>
    </row>
    <row r="21" spans="1:4" ht="15.5" x14ac:dyDescent="0.35">
      <c r="A21" s="1"/>
      <c r="B21" s="1"/>
      <c r="C21" s="1"/>
      <c r="D21" s="1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1"/>
  <sheetViews>
    <sheetView workbookViewId="0">
      <selection activeCell="B2" sqref="B2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1'!B2+1.9</f>
        <v>11.6</v>
      </c>
      <c r="C2" s="1">
        <f>'Вариант 1'!C2+1.9</f>
        <v>3.49</v>
      </c>
      <c r="D2" s="1">
        <f>'Вариант 1'!D2+1.9</f>
        <v>2.15</v>
      </c>
    </row>
    <row r="3" spans="1:4" ht="15.5" x14ac:dyDescent="0.35">
      <c r="A3" s="1">
        <v>2</v>
      </c>
      <c r="B3" s="1">
        <f>'Вариант 1'!B3+1.9</f>
        <v>11.85</v>
      </c>
      <c r="C3" s="1">
        <f>'Вариант 1'!C3+1.9</f>
        <v>3.16</v>
      </c>
      <c r="D3" s="1">
        <f>'Вариант 1'!D3+1.9</f>
        <v>2.16</v>
      </c>
    </row>
    <row r="4" spans="1:4" ht="15.5" x14ac:dyDescent="0.35">
      <c r="A4" s="1">
        <v>3</v>
      </c>
      <c r="B4" s="1">
        <f>'Вариант 1'!B4+1.9</f>
        <v>10.3</v>
      </c>
      <c r="C4" s="1">
        <f>'Вариант 1'!C4+1.9</f>
        <v>2.78</v>
      </c>
      <c r="D4" s="1">
        <f>'Вариант 1'!D4+1.9</f>
        <v>2.19</v>
      </c>
    </row>
    <row r="5" spans="1:4" ht="15.5" x14ac:dyDescent="0.35">
      <c r="A5" s="1">
        <v>4</v>
      </c>
      <c r="B5" s="1">
        <f>'Вариант 1'!B5+1.9</f>
        <v>10.68</v>
      </c>
      <c r="C5" s="1">
        <f>'Вариант 1'!C5+1.9</f>
        <v>3.03</v>
      </c>
      <c r="D5" s="1">
        <f>'Вариант 1'!D5+1.9</f>
        <v>2.17</v>
      </c>
    </row>
    <row r="6" spans="1:4" ht="15.5" x14ac:dyDescent="0.35">
      <c r="A6" s="1">
        <v>5</v>
      </c>
      <c r="B6" s="1">
        <f>'Вариант 1'!B6+1.9</f>
        <v>12.4</v>
      </c>
      <c r="C6" s="1">
        <f>'Вариант 1'!C6+1.9</f>
        <v>2.54</v>
      </c>
      <c r="D6" s="1">
        <f>'Вариант 1'!D6+1.9</f>
        <v>2.1399999999999997</v>
      </c>
    </row>
    <row r="7" spans="1:4" ht="15.5" x14ac:dyDescent="0.35">
      <c r="A7" s="1">
        <v>6</v>
      </c>
      <c r="B7" s="1">
        <f>'Вариант 1'!B7+1.9</f>
        <v>13.1</v>
      </c>
      <c r="C7" s="1">
        <f>'Вариант 1'!C7+1.9</f>
        <v>2.4899999999999998</v>
      </c>
      <c r="D7" s="1">
        <f>'Вариант 1'!D7+1.9</f>
        <v>2.21</v>
      </c>
    </row>
    <row r="8" spans="1:4" ht="15.5" x14ac:dyDescent="0.35">
      <c r="A8" s="1">
        <v>7</v>
      </c>
      <c r="B8" s="1">
        <f>'Вариант 1'!B8+1.9</f>
        <v>13.9</v>
      </c>
      <c r="C8" s="1">
        <f>'Вариант 1'!C8+1.9</f>
        <v>2.63</v>
      </c>
      <c r="D8" s="1">
        <f>'Вариант 1'!D8+1.9</f>
        <v>2.17</v>
      </c>
    </row>
    <row r="9" spans="1:4" ht="15.5" x14ac:dyDescent="0.35">
      <c r="A9" s="1">
        <v>8</v>
      </c>
      <c r="B9" s="1">
        <f>'Вариант 1'!B9+1.9</f>
        <v>12.1</v>
      </c>
      <c r="C9" s="1">
        <f>'Вариант 1'!C9+1.9</f>
        <v>3.24</v>
      </c>
      <c r="D9" s="1">
        <f>'Вариант 1'!D9+1.9</f>
        <v>2.17</v>
      </c>
    </row>
    <row r="10" spans="1:4" ht="15.5" x14ac:dyDescent="0.35">
      <c r="A10" s="1">
        <v>9</v>
      </c>
      <c r="B10" s="1">
        <f>'Вариант 1'!B10+1.9</f>
        <v>11.57</v>
      </c>
      <c r="C10" s="1">
        <f>'Вариант 1'!C10+1.9</f>
        <v>2.96</v>
      </c>
      <c r="D10" s="1">
        <f>'Вариант 1'!D10+1.9</f>
        <v>2.1799999999999997</v>
      </c>
    </row>
    <row r="11" spans="1:4" ht="15.5" x14ac:dyDescent="0.35">
      <c r="A11" s="1">
        <v>10</v>
      </c>
      <c r="B11" s="1">
        <f>'Вариант 1'!B11+1.9</f>
        <v>11.450000000000001</v>
      </c>
      <c r="C11" s="1">
        <f>'Вариант 1'!C11+1.9</f>
        <v>3.28</v>
      </c>
      <c r="D11" s="1">
        <f>'Вариант 1'!D11+1.9</f>
        <v>2.16</v>
      </c>
    </row>
    <row r="12" spans="1:4" ht="15.5" x14ac:dyDescent="0.35">
      <c r="A12" s="1">
        <v>11</v>
      </c>
      <c r="B12" s="1">
        <f>'Вариант 1'!B12+1.9</f>
        <v>12.200000000000001</v>
      </c>
      <c r="C12" s="1">
        <f>'Вариант 1'!C12+1.9</f>
        <v>2.8499999999999996</v>
      </c>
      <c r="D12" s="1">
        <f>'Вариант 1'!D12+1.9</f>
        <v>2.13</v>
      </c>
    </row>
    <row r="13" spans="1:4" ht="15.5" x14ac:dyDescent="0.35">
      <c r="A13" s="1">
        <v>12</v>
      </c>
      <c r="B13" s="1">
        <f>'Вариант 1'!B13+1.9</f>
        <v>13.5</v>
      </c>
      <c r="C13" s="1">
        <f>'Вариант 1'!C13+1.9</f>
        <v>2.76</v>
      </c>
      <c r="D13" s="1">
        <f>'Вариант 1'!D13+1.9</f>
        <v>2.1799999999999997</v>
      </c>
    </row>
    <row r="14" spans="1:4" ht="15.5" x14ac:dyDescent="0.35">
      <c r="A14" s="1">
        <v>13</v>
      </c>
      <c r="B14" s="1">
        <f>'Вариант 1'!B14+1.9</f>
        <v>14.3</v>
      </c>
      <c r="C14" s="1">
        <f>'Вариант 1'!C14+1.9</f>
        <v>2.87</v>
      </c>
      <c r="D14" s="1">
        <f>'Вариант 1'!D14+1.9</f>
        <v>2.17</v>
      </c>
    </row>
    <row r="15" spans="1:4" ht="15.5" x14ac:dyDescent="0.35">
      <c r="A15" s="1">
        <v>14</v>
      </c>
      <c r="B15" s="1">
        <f>'Вариант 1'!B15+1.9</f>
        <v>13.200000000000001</v>
      </c>
      <c r="C15" s="1">
        <f>'Вариант 1'!C15+1.9</f>
        <v>2.96</v>
      </c>
      <c r="D15" s="1">
        <f>'Вариант 1'!D15+1.9</f>
        <v>2.16</v>
      </c>
    </row>
    <row r="16" spans="1:4" ht="15.5" x14ac:dyDescent="0.35">
      <c r="A16" s="1"/>
      <c r="B16" s="1"/>
      <c r="C16" s="1"/>
      <c r="D16" s="1"/>
    </row>
    <row r="17" spans="1:4" ht="15.5" x14ac:dyDescent="0.35">
      <c r="A17" s="1"/>
      <c r="B17" s="1"/>
      <c r="C17" s="1"/>
      <c r="D17" s="1"/>
    </row>
    <row r="18" spans="1:4" ht="15.5" x14ac:dyDescent="0.35">
      <c r="A18" s="1"/>
      <c r="B18" s="1"/>
      <c r="C18" s="1"/>
      <c r="D18" s="1"/>
    </row>
    <row r="19" spans="1:4" ht="15.5" x14ac:dyDescent="0.35">
      <c r="A19" s="1"/>
      <c r="B19" s="1"/>
      <c r="C19" s="1"/>
      <c r="D19" s="1"/>
    </row>
    <row r="20" spans="1:4" ht="15.5" x14ac:dyDescent="0.35">
      <c r="A20" s="1"/>
      <c r="B20" s="1"/>
      <c r="C20" s="1"/>
      <c r="D20" s="1"/>
    </row>
    <row r="21" spans="1:4" ht="15.5" x14ac:dyDescent="0.35">
      <c r="A21" s="1"/>
      <c r="B21" s="1"/>
      <c r="C21" s="1"/>
      <c r="D21" s="1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1"/>
  <sheetViews>
    <sheetView workbookViewId="0">
      <selection sqref="A1:D15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1'!B2+2</f>
        <v>11.7</v>
      </c>
      <c r="C2" s="1">
        <f>'Вариант 1'!C2+2</f>
        <v>3.59</v>
      </c>
      <c r="D2" s="1">
        <f>'Вариант 1'!D2+2</f>
        <v>2.25</v>
      </c>
    </row>
    <row r="3" spans="1:4" ht="15.5" x14ac:dyDescent="0.35">
      <c r="A3" s="1">
        <v>2</v>
      </c>
      <c r="B3" s="1">
        <f>'Вариант 1'!B3+2</f>
        <v>11.95</v>
      </c>
      <c r="C3" s="1">
        <f>'Вариант 1'!C3+2</f>
        <v>3.26</v>
      </c>
      <c r="D3" s="1">
        <f>'Вариант 1'!D3+2</f>
        <v>2.2599999999999998</v>
      </c>
    </row>
    <row r="4" spans="1:4" ht="15.5" x14ac:dyDescent="0.35">
      <c r="A4" s="1">
        <v>3</v>
      </c>
      <c r="B4" s="1">
        <f>'Вариант 1'!B4+2</f>
        <v>10.4</v>
      </c>
      <c r="C4" s="1">
        <f>'Вариант 1'!C4+2</f>
        <v>2.88</v>
      </c>
      <c r="D4" s="1">
        <f>'Вариант 1'!D4+2</f>
        <v>2.29</v>
      </c>
    </row>
    <row r="5" spans="1:4" ht="15.5" x14ac:dyDescent="0.35">
      <c r="A5" s="1">
        <v>4</v>
      </c>
      <c r="B5" s="1">
        <f>'Вариант 1'!B5+2</f>
        <v>10.78</v>
      </c>
      <c r="C5" s="1">
        <f>'Вариант 1'!C5+2</f>
        <v>3.13</v>
      </c>
      <c r="D5" s="1">
        <f>'Вариант 1'!D5+2</f>
        <v>2.27</v>
      </c>
    </row>
    <row r="6" spans="1:4" ht="15.5" x14ac:dyDescent="0.35">
      <c r="A6" s="1">
        <v>5</v>
      </c>
      <c r="B6" s="1">
        <f>'Вариант 1'!B6+2</f>
        <v>12.5</v>
      </c>
      <c r="C6" s="1">
        <f>'Вариант 1'!C6+2</f>
        <v>2.64</v>
      </c>
      <c r="D6" s="1">
        <f>'Вариант 1'!D6+2</f>
        <v>2.2400000000000002</v>
      </c>
    </row>
    <row r="7" spans="1:4" ht="15.5" x14ac:dyDescent="0.35">
      <c r="A7" s="1">
        <v>6</v>
      </c>
      <c r="B7" s="1">
        <f>'Вариант 1'!B7+2</f>
        <v>13.2</v>
      </c>
      <c r="C7" s="1">
        <f>'Вариант 1'!C7+2</f>
        <v>2.59</v>
      </c>
      <c r="D7" s="1">
        <f>'Вариант 1'!D7+2</f>
        <v>2.31</v>
      </c>
    </row>
    <row r="8" spans="1:4" ht="15.5" x14ac:dyDescent="0.35">
      <c r="A8" s="1">
        <v>7</v>
      </c>
      <c r="B8" s="1">
        <f>'Вариант 1'!B8+2</f>
        <v>14</v>
      </c>
      <c r="C8" s="1">
        <f>'Вариант 1'!C8+2</f>
        <v>2.73</v>
      </c>
      <c r="D8" s="1">
        <f>'Вариант 1'!D8+2</f>
        <v>2.27</v>
      </c>
    </row>
    <row r="9" spans="1:4" ht="15.5" x14ac:dyDescent="0.35">
      <c r="A9" s="1">
        <v>8</v>
      </c>
      <c r="B9" s="1">
        <f>'Вариант 1'!B9+2</f>
        <v>12.2</v>
      </c>
      <c r="C9" s="1">
        <f>'Вариант 1'!C9+2</f>
        <v>3.34</v>
      </c>
      <c r="D9" s="1">
        <f>'Вариант 1'!D9+2</f>
        <v>2.27</v>
      </c>
    </row>
    <row r="10" spans="1:4" ht="15.5" x14ac:dyDescent="0.35">
      <c r="A10" s="1">
        <v>9</v>
      </c>
      <c r="B10" s="1">
        <f>'Вариант 1'!B10+2</f>
        <v>11.67</v>
      </c>
      <c r="C10" s="1">
        <f>'Вариант 1'!C10+2</f>
        <v>3.06</v>
      </c>
      <c r="D10" s="1">
        <f>'Вариант 1'!D10+2</f>
        <v>2.2800000000000002</v>
      </c>
    </row>
    <row r="11" spans="1:4" ht="15.5" x14ac:dyDescent="0.35">
      <c r="A11" s="1">
        <v>10</v>
      </c>
      <c r="B11" s="1">
        <f>'Вариант 1'!B11+2</f>
        <v>11.55</v>
      </c>
      <c r="C11" s="1">
        <f>'Вариант 1'!C11+2</f>
        <v>3.38</v>
      </c>
      <c r="D11" s="1">
        <f>'Вариант 1'!D11+2</f>
        <v>2.2599999999999998</v>
      </c>
    </row>
    <row r="12" spans="1:4" ht="15.5" x14ac:dyDescent="0.35">
      <c r="A12" s="1">
        <v>11</v>
      </c>
      <c r="B12" s="1">
        <f>'Вариант 1'!B12+2</f>
        <v>12.3</v>
      </c>
      <c r="C12" s="1">
        <f>'Вариант 1'!C12+2</f>
        <v>2.95</v>
      </c>
      <c r="D12" s="1">
        <f>'Вариант 1'!D12+2</f>
        <v>2.23</v>
      </c>
    </row>
    <row r="13" spans="1:4" ht="15.5" x14ac:dyDescent="0.35">
      <c r="A13" s="1">
        <v>12</v>
      </c>
      <c r="B13" s="1">
        <f>'Вариант 1'!B13+2</f>
        <v>13.6</v>
      </c>
      <c r="C13" s="1">
        <f>'Вариант 1'!C13+2</f>
        <v>2.86</v>
      </c>
      <c r="D13" s="1">
        <f>'Вариант 1'!D13+2</f>
        <v>2.2800000000000002</v>
      </c>
    </row>
    <row r="14" spans="1:4" ht="15.5" x14ac:dyDescent="0.35">
      <c r="A14" s="1">
        <v>13</v>
      </c>
      <c r="B14" s="1">
        <f>'Вариант 1'!B14+2</f>
        <v>14.4</v>
      </c>
      <c r="C14" s="1">
        <f>'Вариант 1'!C14+2</f>
        <v>2.9699999999999998</v>
      </c>
      <c r="D14" s="1">
        <f>'Вариант 1'!D14+2</f>
        <v>2.27</v>
      </c>
    </row>
    <row r="15" spans="1:4" ht="15.5" x14ac:dyDescent="0.35">
      <c r="A15" s="1">
        <v>14</v>
      </c>
      <c r="B15" s="1">
        <f>'Вариант 1'!B15+2</f>
        <v>13.3</v>
      </c>
      <c r="C15" s="1">
        <f>'Вариант 1'!C15+2</f>
        <v>3.06</v>
      </c>
      <c r="D15" s="1">
        <f>'Вариант 1'!D15+2</f>
        <v>2.2599999999999998</v>
      </c>
    </row>
    <row r="16" spans="1:4" ht="15.5" x14ac:dyDescent="0.35">
      <c r="A16" s="1"/>
      <c r="B16" s="1"/>
      <c r="C16" s="1"/>
      <c r="D16" s="1"/>
    </row>
    <row r="17" spans="1:4" ht="15.5" x14ac:dyDescent="0.35">
      <c r="A17" s="1"/>
      <c r="B17" s="1"/>
      <c r="C17" s="1"/>
      <c r="D17" s="1"/>
    </row>
    <row r="18" spans="1:4" ht="15.5" x14ac:dyDescent="0.35">
      <c r="A18" s="1"/>
      <c r="B18" s="1"/>
      <c r="C18" s="1"/>
      <c r="D18" s="1"/>
    </row>
    <row r="19" spans="1:4" ht="15.5" x14ac:dyDescent="0.35">
      <c r="A19" s="1"/>
      <c r="B19" s="1"/>
      <c r="C19" s="1"/>
      <c r="D19" s="1"/>
    </row>
    <row r="20" spans="1:4" ht="15.5" x14ac:dyDescent="0.35">
      <c r="A20" s="1"/>
      <c r="B20" s="1"/>
      <c r="C20" s="1"/>
      <c r="D20" s="1"/>
    </row>
    <row r="21" spans="1:4" ht="15.5" x14ac:dyDescent="0.35">
      <c r="A21" s="1"/>
      <c r="B21" s="1"/>
      <c r="C21" s="1"/>
      <c r="D21" s="1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5"/>
  <sheetViews>
    <sheetView workbookViewId="0">
      <selection activeCell="D15" sqref="D15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1'!B2+2.1</f>
        <v>11.799999999999999</v>
      </c>
      <c r="C2" s="1">
        <f>'Вариант 1'!C2+2.1</f>
        <v>3.6900000000000004</v>
      </c>
      <c r="D2" s="1">
        <f>'Вариант 1'!D2+2.1</f>
        <v>2.35</v>
      </c>
    </row>
    <row r="3" spans="1:4" ht="15.5" x14ac:dyDescent="0.35">
      <c r="A3" s="1">
        <v>2</v>
      </c>
      <c r="B3" s="1">
        <f>'Вариант 1'!B3+2.1</f>
        <v>12.049999999999999</v>
      </c>
      <c r="C3" s="1">
        <f>'Вариант 1'!C3+2.1</f>
        <v>3.3600000000000003</v>
      </c>
      <c r="D3" s="1">
        <f>'Вариант 1'!D3+2.1</f>
        <v>2.3600000000000003</v>
      </c>
    </row>
    <row r="4" spans="1:4" ht="15.5" x14ac:dyDescent="0.35">
      <c r="A4" s="1">
        <v>3</v>
      </c>
      <c r="B4" s="1">
        <f>'Вариант 1'!B4+2.1</f>
        <v>10.5</v>
      </c>
      <c r="C4" s="1">
        <f>'Вариант 1'!C4+2.1</f>
        <v>2.98</v>
      </c>
      <c r="D4" s="1">
        <f>'Вариант 1'!D4+2.1</f>
        <v>2.39</v>
      </c>
    </row>
    <row r="5" spans="1:4" ht="15.5" x14ac:dyDescent="0.35">
      <c r="A5" s="1">
        <v>4</v>
      </c>
      <c r="B5" s="1">
        <f>'Вариант 1'!B5+2.1</f>
        <v>10.879999999999999</v>
      </c>
      <c r="C5" s="1">
        <f>'Вариант 1'!C5+2.1</f>
        <v>3.23</v>
      </c>
      <c r="D5" s="1">
        <f>'Вариант 1'!D5+2.1</f>
        <v>2.37</v>
      </c>
    </row>
    <row r="6" spans="1:4" ht="15.5" x14ac:dyDescent="0.35">
      <c r="A6" s="1">
        <v>5</v>
      </c>
      <c r="B6" s="1">
        <f>'Вариант 1'!B6+2.1</f>
        <v>12.6</v>
      </c>
      <c r="C6" s="1">
        <f>'Вариант 1'!C6+2.1</f>
        <v>2.74</v>
      </c>
      <c r="D6" s="1">
        <f>'Вариант 1'!D6+2.1</f>
        <v>2.34</v>
      </c>
    </row>
    <row r="7" spans="1:4" ht="15.5" x14ac:dyDescent="0.35">
      <c r="A7" s="1">
        <v>6</v>
      </c>
      <c r="B7" s="1">
        <f>'Вариант 1'!B7+2.1</f>
        <v>13.299999999999999</v>
      </c>
      <c r="C7" s="1">
        <f>'Вариант 1'!C7+2.1</f>
        <v>2.69</v>
      </c>
      <c r="D7" s="1">
        <f>'Вариант 1'!D7+2.1</f>
        <v>2.41</v>
      </c>
    </row>
    <row r="8" spans="1:4" ht="15.5" x14ac:dyDescent="0.35">
      <c r="A8" s="1">
        <v>7</v>
      </c>
      <c r="B8" s="1">
        <f>'Вариант 1'!B8+2.1</f>
        <v>14.1</v>
      </c>
      <c r="C8" s="1">
        <f>'Вариант 1'!C8+2.1</f>
        <v>2.83</v>
      </c>
      <c r="D8" s="1">
        <f>'Вариант 1'!D8+2.1</f>
        <v>2.37</v>
      </c>
    </row>
    <row r="9" spans="1:4" ht="15.5" x14ac:dyDescent="0.35">
      <c r="A9" s="1">
        <v>8</v>
      </c>
      <c r="B9" s="1">
        <f>'Вариант 1'!B9+2.1</f>
        <v>12.299999999999999</v>
      </c>
      <c r="C9" s="1">
        <f>'Вариант 1'!C9+2.1</f>
        <v>3.4400000000000004</v>
      </c>
      <c r="D9" s="1">
        <f>'Вариант 1'!D9+2.1</f>
        <v>2.37</v>
      </c>
    </row>
    <row r="10" spans="1:4" ht="15.5" x14ac:dyDescent="0.35">
      <c r="A10" s="1">
        <v>9</v>
      </c>
      <c r="B10" s="1">
        <f>'Вариант 1'!B10+2.1</f>
        <v>11.77</v>
      </c>
      <c r="C10" s="1">
        <f>'Вариант 1'!C10+2.1</f>
        <v>3.16</v>
      </c>
      <c r="D10" s="1">
        <f>'Вариант 1'!D10+2.1</f>
        <v>2.38</v>
      </c>
    </row>
    <row r="11" spans="1:4" ht="15.5" x14ac:dyDescent="0.35">
      <c r="A11" s="1">
        <v>10</v>
      </c>
      <c r="B11" s="1">
        <f>'Вариант 1'!B11+2.1</f>
        <v>11.65</v>
      </c>
      <c r="C11" s="1">
        <f>'Вариант 1'!C11+2.1</f>
        <v>3.48</v>
      </c>
      <c r="D11" s="1">
        <f>'Вариант 1'!D11+2.1</f>
        <v>2.3600000000000003</v>
      </c>
    </row>
    <row r="12" spans="1:4" ht="15.5" x14ac:dyDescent="0.35">
      <c r="A12" s="1">
        <v>11</v>
      </c>
      <c r="B12" s="1">
        <f>'Вариант 1'!B12+2.1</f>
        <v>12.4</v>
      </c>
      <c r="C12" s="1">
        <f>'Вариант 1'!C12+2.1</f>
        <v>3.05</v>
      </c>
      <c r="D12" s="1">
        <f>'Вариант 1'!D12+2.1</f>
        <v>2.33</v>
      </c>
    </row>
    <row r="13" spans="1:4" ht="15.5" x14ac:dyDescent="0.35">
      <c r="A13" s="1">
        <v>12</v>
      </c>
      <c r="B13" s="1">
        <f>'Вариант 1'!B13+2.1</f>
        <v>13.7</v>
      </c>
      <c r="C13" s="1">
        <f>'Вариант 1'!C13+2.1</f>
        <v>2.96</v>
      </c>
      <c r="D13" s="1">
        <f>'Вариант 1'!D13+2.1</f>
        <v>2.38</v>
      </c>
    </row>
    <row r="14" spans="1:4" ht="15.5" x14ac:dyDescent="0.35">
      <c r="A14" s="1">
        <v>13</v>
      </c>
      <c r="B14" s="1">
        <f>'Вариант 1'!B14+2.1</f>
        <v>14.5</v>
      </c>
      <c r="C14" s="1">
        <f>'Вариант 1'!C14+2.1</f>
        <v>3.0700000000000003</v>
      </c>
      <c r="D14" s="1">
        <f>'Вариант 1'!D14+2.1</f>
        <v>2.37</v>
      </c>
    </row>
    <row r="15" spans="1:4" ht="15.5" x14ac:dyDescent="0.35">
      <c r="A15" s="1">
        <v>14</v>
      </c>
      <c r="B15" s="1">
        <f>'Вариант 1'!B15+2.1</f>
        <v>13.4</v>
      </c>
      <c r="C15" s="1">
        <f>'Вариант 1'!C15+2.1</f>
        <v>3.16</v>
      </c>
      <c r="D15" s="1">
        <f>'Вариант 1'!D15+2.1</f>
        <v>2.3600000000000003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5"/>
  <sheetViews>
    <sheetView workbookViewId="0">
      <selection sqref="A1:D15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1'!B2+2.2</f>
        <v>11.899999999999999</v>
      </c>
      <c r="C2" s="1">
        <f>'Вариант 1'!C2+2.2</f>
        <v>3.79</v>
      </c>
      <c r="D2" s="1">
        <f>'Вариант 1'!D2+2.2</f>
        <v>2.4500000000000002</v>
      </c>
    </row>
    <row r="3" spans="1:4" ht="15.5" x14ac:dyDescent="0.35">
      <c r="A3" s="1">
        <v>2</v>
      </c>
      <c r="B3" s="1">
        <f>'Вариант 1'!B3+2.2</f>
        <v>12.149999999999999</v>
      </c>
      <c r="C3" s="1">
        <f>'Вариант 1'!C3+2.2</f>
        <v>3.46</v>
      </c>
      <c r="D3" s="1">
        <f>'Вариант 1'!D3+2.2</f>
        <v>2.46</v>
      </c>
    </row>
    <row r="4" spans="1:4" ht="15.5" x14ac:dyDescent="0.35">
      <c r="A4" s="1">
        <v>3</v>
      </c>
      <c r="B4" s="1">
        <f>'Вариант 1'!B4+2.2</f>
        <v>10.600000000000001</v>
      </c>
      <c r="C4" s="1">
        <f>'Вариант 1'!C4+2.2</f>
        <v>3.08</v>
      </c>
      <c r="D4" s="1">
        <f>'Вариант 1'!D4+2.2</f>
        <v>2.4900000000000002</v>
      </c>
    </row>
    <row r="5" spans="1:4" ht="15.5" x14ac:dyDescent="0.35">
      <c r="A5" s="1">
        <v>4</v>
      </c>
      <c r="B5" s="1">
        <f>'Вариант 1'!B5+2.2</f>
        <v>10.98</v>
      </c>
      <c r="C5" s="1">
        <f>'Вариант 1'!C5+2.2</f>
        <v>3.33</v>
      </c>
      <c r="D5" s="1">
        <f>'Вариант 1'!D5+2.2</f>
        <v>2.4700000000000002</v>
      </c>
    </row>
    <row r="6" spans="1:4" ht="15.5" x14ac:dyDescent="0.35">
      <c r="A6" s="1">
        <v>5</v>
      </c>
      <c r="B6" s="1">
        <f>'Вариант 1'!B6+2.2</f>
        <v>12.7</v>
      </c>
      <c r="C6" s="1">
        <f>'Вариант 1'!C6+2.2</f>
        <v>2.8400000000000003</v>
      </c>
      <c r="D6" s="1">
        <f>'Вариант 1'!D6+2.2</f>
        <v>2.4400000000000004</v>
      </c>
    </row>
    <row r="7" spans="1:4" ht="15.5" x14ac:dyDescent="0.35">
      <c r="A7" s="1">
        <v>6</v>
      </c>
      <c r="B7" s="1">
        <f>'Вариант 1'!B7+2.2</f>
        <v>13.399999999999999</v>
      </c>
      <c r="C7" s="1">
        <f>'Вариант 1'!C7+2.2</f>
        <v>2.79</v>
      </c>
      <c r="D7" s="1">
        <f>'Вариант 1'!D7+2.2</f>
        <v>2.5100000000000002</v>
      </c>
    </row>
    <row r="8" spans="1:4" ht="15.5" x14ac:dyDescent="0.35">
      <c r="A8" s="1">
        <v>7</v>
      </c>
      <c r="B8" s="1">
        <f>'Вариант 1'!B8+2.2</f>
        <v>14.2</v>
      </c>
      <c r="C8" s="1">
        <f>'Вариант 1'!C8+2.2</f>
        <v>2.93</v>
      </c>
      <c r="D8" s="1">
        <f>'Вариант 1'!D8+2.2</f>
        <v>2.4700000000000002</v>
      </c>
    </row>
    <row r="9" spans="1:4" ht="15.5" x14ac:dyDescent="0.35">
      <c r="A9" s="1">
        <v>8</v>
      </c>
      <c r="B9" s="1">
        <f>'Вариант 1'!B9+2.2</f>
        <v>12.399999999999999</v>
      </c>
      <c r="C9" s="1">
        <f>'Вариант 1'!C9+2.2</f>
        <v>3.54</v>
      </c>
      <c r="D9" s="1">
        <f>'Вариант 1'!D9+2.2</f>
        <v>2.4700000000000002</v>
      </c>
    </row>
    <row r="10" spans="1:4" ht="15.5" x14ac:dyDescent="0.35">
      <c r="A10" s="1">
        <v>9</v>
      </c>
      <c r="B10" s="1">
        <f>'Вариант 1'!B10+2.2</f>
        <v>11.870000000000001</v>
      </c>
      <c r="C10" s="1">
        <f>'Вариант 1'!C10+2.2</f>
        <v>3.2600000000000002</v>
      </c>
      <c r="D10" s="1">
        <f>'Вариант 1'!D10+2.2</f>
        <v>2.4800000000000004</v>
      </c>
    </row>
    <row r="11" spans="1:4" ht="15.5" x14ac:dyDescent="0.35">
      <c r="A11" s="1">
        <v>10</v>
      </c>
      <c r="B11" s="1">
        <f>'Вариант 1'!B11+2.2</f>
        <v>11.75</v>
      </c>
      <c r="C11" s="1">
        <f>'Вариант 1'!C11+2.2</f>
        <v>3.58</v>
      </c>
      <c r="D11" s="1">
        <f>'Вариант 1'!D11+2.2</f>
        <v>2.46</v>
      </c>
    </row>
    <row r="12" spans="1:4" ht="15.5" x14ac:dyDescent="0.35">
      <c r="A12" s="1">
        <v>11</v>
      </c>
      <c r="B12" s="1">
        <f>'Вариант 1'!B12+2.2</f>
        <v>12.5</v>
      </c>
      <c r="C12" s="1">
        <f>'Вариант 1'!C12+2.2</f>
        <v>3.1500000000000004</v>
      </c>
      <c r="D12" s="1">
        <f>'Вариант 1'!D12+2.2</f>
        <v>2.4300000000000002</v>
      </c>
    </row>
    <row r="13" spans="1:4" ht="15.5" x14ac:dyDescent="0.35">
      <c r="A13" s="1">
        <v>12</v>
      </c>
      <c r="B13" s="1">
        <f>'Вариант 1'!B13+2.2</f>
        <v>13.8</v>
      </c>
      <c r="C13" s="1">
        <f>'Вариант 1'!C13+2.2</f>
        <v>3.06</v>
      </c>
      <c r="D13" s="1">
        <f>'Вариант 1'!D13+2.2</f>
        <v>2.4800000000000004</v>
      </c>
    </row>
    <row r="14" spans="1:4" ht="15.5" x14ac:dyDescent="0.35">
      <c r="A14" s="1">
        <v>13</v>
      </c>
      <c r="B14" s="1">
        <f>'Вариант 1'!B14+2.2</f>
        <v>14.600000000000001</v>
      </c>
      <c r="C14" s="1">
        <f>'Вариант 1'!C14+2.2</f>
        <v>3.17</v>
      </c>
      <c r="D14" s="1">
        <f>'Вариант 1'!D14+2.2</f>
        <v>2.4700000000000002</v>
      </c>
    </row>
    <row r="15" spans="1:4" ht="15.5" x14ac:dyDescent="0.35">
      <c r="A15" s="1">
        <v>14</v>
      </c>
      <c r="B15" s="1">
        <f>'Вариант 1'!B15+2.2</f>
        <v>13.5</v>
      </c>
      <c r="C15" s="1">
        <f>'Вариант 1'!C15+2.2</f>
        <v>3.2600000000000002</v>
      </c>
      <c r="D15" s="1">
        <f>'Вариант 1'!D15+2.2</f>
        <v>2.46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6"/>
  <sheetViews>
    <sheetView workbookViewId="0">
      <selection sqref="A1:D15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1'!B2+2.3</f>
        <v>12</v>
      </c>
      <c r="C2" s="1">
        <f>'Вариант 1'!C2+2.3</f>
        <v>3.8899999999999997</v>
      </c>
      <c r="D2" s="1">
        <f>'Вариант 1'!D2+2.3</f>
        <v>2.5499999999999998</v>
      </c>
    </row>
    <row r="3" spans="1:4" ht="15.5" x14ac:dyDescent="0.35">
      <c r="A3" s="1">
        <v>2</v>
      </c>
      <c r="B3" s="1">
        <f>'Вариант 1'!B3+2.3</f>
        <v>12.25</v>
      </c>
      <c r="C3" s="1">
        <f>'Вариант 1'!C3+2.3</f>
        <v>3.5599999999999996</v>
      </c>
      <c r="D3" s="1">
        <f>'Вариант 1'!D3+2.3</f>
        <v>2.5599999999999996</v>
      </c>
    </row>
    <row r="4" spans="1:4" ht="15.5" x14ac:dyDescent="0.35">
      <c r="A4" s="1">
        <v>3</v>
      </c>
      <c r="B4" s="1">
        <f>'Вариант 1'!B4+2.3</f>
        <v>10.7</v>
      </c>
      <c r="C4" s="1">
        <f>'Вариант 1'!C4+2.3</f>
        <v>3.1799999999999997</v>
      </c>
      <c r="D4" s="1">
        <f>'Вариант 1'!D4+2.3</f>
        <v>2.59</v>
      </c>
    </row>
    <row r="5" spans="1:4" ht="15.5" x14ac:dyDescent="0.35">
      <c r="A5" s="1">
        <v>4</v>
      </c>
      <c r="B5" s="1">
        <f>'Вариант 1'!B5+2.3</f>
        <v>11.079999999999998</v>
      </c>
      <c r="C5" s="1">
        <f>'Вариант 1'!C5+2.3</f>
        <v>3.4299999999999997</v>
      </c>
      <c r="D5" s="1">
        <f>'Вариант 1'!D5+2.3</f>
        <v>2.57</v>
      </c>
    </row>
    <row r="6" spans="1:4" ht="15.5" x14ac:dyDescent="0.35">
      <c r="A6" s="1">
        <v>5</v>
      </c>
      <c r="B6" s="1">
        <f>'Вариант 1'!B6+2.3</f>
        <v>12.8</v>
      </c>
      <c r="C6" s="1">
        <f>'Вариант 1'!C6+2.3</f>
        <v>2.94</v>
      </c>
      <c r="D6" s="1">
        <f>'Вариант 1'!D6+2.3</f>
        <v>2.54</v>
      </c>
    </row>
    <row r="7" spans="1:4" ht="15.5" x14ac:dyDescent="0.35">
      <c r="A7" s="1">
        <v>6</v>
      </c>
      <c r="B7" s="1">
        <f>'Вариант 1'!B7+2.3</f>
        <v>13.5</v>
      </c>
      <c r="C7" s="1">
        <f>'Вариант 1'!C7+2.3</f>
        <v>2.8899999999999997</v>
      </c>
      <c r="D7" s="1">
        <f>'Вариант 1'!D7+2.3</f>
        <v>2.61</v>
      </c>
    </row>
    <row r="8" spans="1:4" ht="15.5" x14ac:dyDescent="0.35">
      <c r="A8" s="1">
        <v>7</v>
      </c>
      <c r="B8" s="1">
        <f>'Вариант 1'!B8+2.3</f>
        <v>14.3</v>
      </c>
      <c r="C8" s="1">
        <f>'Вариант 1'!C8+2.3</f>
        <v>3.03</v>
      </c>
      <c r="D8" s="1">
        <f>'Вариант 1'!D8+2.3</f>
        <v>2.57</v>
      </c>
    </row>
    <row r="9" spans="1:4" ht="15.5" x14ac:dyDescent="0.35">
      <c r="A9" s="1">
        <v>8</v>
      </c>
      <c r="B9" s="1">
        <f>'Вариант 1'!B9+2.3</f>
        <v>12.5</v>
      </c>
      <c r="C9" s="1">
        <f>'Вариант 1'!C9+2.3</f>
        <v>3.6399999999999997</v>
      </c>
      <c r="D9" s="1">
        <f>'Вариант 1'!D9+2.3</f>
        <v>2.57</v>
      </c>
    </row>
    <row r="10" spans="1:4" ht="15.5" x14ac:dyDescent="0.35">
      <c r="A10" s="1">
        <v>9</v>
      </c>
      <c r="B10" s="1">
        <f>'Вариант 1'!B10+2.3</f>
        <v>11.969999999999999</v>
      </c>
      <c r="C10" s="1">
        <f>'Вариант 1'!C10+2.3</f>
        <v>3.36</v>
      </c>
      <c r="D10" s="1">
        <f>'Вариант 1'!D10+2.3</f>
        <v>2.58</v>
      </c>
    </row>
    <row r="11" spans="1:4" ht="15.5" x14ac:dyDescent="0.35">
      <c r="A11" s="1">
        <v>10</v>
      </c>
      <c r="B11" s="1">
        <f>'Вариант 1'!B11+2.3</f>
        <v>11.850000000000001</v>
      </c>
      <c r="C11" s="1">
        <f>'Вариант 1'!C11+2.3</f>
        <v>3.6799999999999997</v>
      </c>
      <c r="D11" s="1">
        <f>'Вариант 1'!D11+2.3</f>
        <v>2.5599999999999996</v>
      </c>
    </row>
    <row r="12" spans="1:4" ht="15.5" x14ac:dyDescent="0.35">
      <c r="A12" s="1">
        <v>11</v>
      </c>
      <c r="B12" s="1">
        <f>'Вариант 1'!B12+2.3</f>
        <v>12.600000000000001</v>
      </c>
      <c r="C12" s="1">
        <f>'Вариант 1'!C12+2.3</f>
        <v>3.25</v>
      </c>
      <c r="D12" s="1">
        <f>'Вариант 1'!D12+2.3</f>
        <v>2.5299999999999998</v>
      </c>
    </row>
    <row r="13" spans="1:4" ht="15.5" x14ac:dyDescent="0.35">
      <c r="A13" s="1">
        <v>12</v>
      </c>
      <c r="B13" s="1">
        <f>'Вариант 1'!B13+2.3</f>
        <v>13.899999999999999</v>
      </c>
      <c r="C13" s="1">
        <f>'Вариант 1'!C13+2.3</f>
        <v>3.1599999999999997</v>
      </c>
      <c r="D13" s="1">
        <f>'Вариант 1'!D13+2.3</f>
        <v>2.58</v>
      </c>
    </row>
    <row r="14" spans="1:4" ht="15.5" x14ac:dyDescent="0.35">
      <c r="A14" s="1">
        <v>13</v>
      </c>
      <c r="B14" s="1">
        <f>'Вариант 1'!B14+2.3</f>
        <v>14.7</v>
      </c>
      <c r="C14" s="1">
        <f>'Вариант 1'!C14+2.3</f>
        <v>3.2699999999999996</v>
      </c>
      <c r="D14" s="1">
        <f>'Вариант 1'!D14+2.3</f>
        <v>2.57</v>
      </c>
    </row>
    <row r="15" spans="1:4" ht="15.5" x14ac:dyDescent="0.35">
      <c r="A15" s="1">
        <v>14</v>
      </c>
      <c r="B15" s="1">
        <f>'Вариант 1'!B15+2.3</f>
        <v>13.600000000000001</v>
      </c>
      <c r="C15" s="1">
        <f>'Вариант 1'!C15+2.3</f>
        <v>3.36</v>
      </c>
      <c r="D15" s="1">
        <f>'Вариант 1'!D15+2.3</f>
        <v>2.5599999999999996</v>
      </c>
    </row>
    <row r="16" spans="1:4" ht="15.5" x14ac:dyDescent="0.35">
      <c r="B16" s="1"/>
      <c r="C16" s="1"/>
      <c r="D16" s="1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5"/>
  <sheetViews>
    <sheetView workbookViewId="0">
      <selection sqref="A1:D15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1'!B2+2.4</f>
        <v>12.1</v>
      </c>
      <c r="C2" s="1">
        <f>'Вариант 1'!C2+2.4</f>
        <v>3.99</v>
      </c>
      <c r="D2" s="1">
        <f>'Вариант 1'!D2+2.4</f>
        <v>2.65</v>
      </c>
    </row>
    <row r="3" spans="1:4" ht="15.5" x14ac:dyDescent="0.35">
      <c r="A3" s="1">
        <v>2</v>
      </c>
      <c r="B3" s="1">
        <f>'Вариант 1'!B3+2.4</f>
        <v>12.35</v>
      </c>
      <c r="C3" s="1">
        <f>'Вариант 1'!C3+2.4</f>
        <v>3.66</v>
      </c>
      <c r="D3" s="1">
        <f>'Вариант 1'!D3+2.4</f>
        <v>2.66</v>
      </c>
    </row>
    <row r="4" spans="1:4" ht="15.5" x14ac:dyDescent="0.35">
      <c r="A4" s="1">
        <v>3</v>
      </c>
      <c r="B4" s="1">
        <f>'Вариант 1'!B4+2.4</f>
        <v>10.8</v>
      </c>
      <c r="C4" s="1">
        <f>'Вариант 1'!C4+2.4</f>
        <v>3.28</v>
      </c>
      <c r="D4" s="1">
        <f>'Вариант 1'!D4+2.4</f>
        <v>2.69</v>
      </c>
    </row>
    <row r="5" spans="1:4" ht="15.5" x14ac:dyDescent="0.35">
      <c r="A5" s="1">
        <v>4</v>
      </c>
      <c r="B5" s="1">
        <f>'Вариант 1'!B5+2.4</f>
        <v>11.18</v>
      </c>
      <c r="C5" s="1">
        <f>'Вариант 1'!C5+2.4</f>
        <v>3.53</v>
      </c>
      <c r="D5" s="1">
        <f>'Вариант 1'!D5+2.4</f>
        <v>2.67</v>
      </c>
    </row>
    <row r="6" spans="1:4" ht="15.5" x14ac:dyDescent="0.35">
      <c r="A6" s="1">
        <v>5</v>
      </c>
      <c r="B6" s="1">
        <f>'Вариант 1'!B6+2.4</f>
        <v>12.9</v>
      </c>
      <c r="C6" s="1">
        <f>'Вариант 1'!C6+2.4</f>
        <v>3.04</v>
      </c>
      <c r="D6" s="1">
        <f>'Вариант 1'!D6+2.4</f>
        <v>2.6399999999999997</v>
      </c>
    </row>
    <row r="7" spans="1:4" ht="15.5" x14ac:dyDescent="0.35">
      <c r="A7" s="1">
        <v>6</v>
      </c>
      <c r="B7" s="1">
        <f>'Вариант 1'!B7+2.4</f>
        <v>13.6</v>
      </c>
      <c r="C7" s="1">
        <f>'Вариант 1'!C7+2.4</f>
        <v>2.9899999999999998</v>
      </c>
      <c r="D7" s="1">
        <f>'Вариант 1'!D7+2.4</f>
        <v>2.71</v>
      </c>
    </row>
    <row r="8" spans="1:4" ht="15.5" x14ac:dyDescent="0.35">
      <c r="A8" s="1">
        <v>7</v>
      </c>
      <c r="B8" s="1">
        <f>'Вариант 1'!B8+2.4</f>
        <v>14.4</v>
      </c>
      <c r="C8" s="1">
        <f>'Вариант 1'!C8+2.4</f>
        <v>3.13</v>
      </c>
      <c r="D8" s="1">
        <f>'Вариант 1'!D8+2.4</f>
        <v>2.67</v>
      </c>
    </row>
    <row r="9" spans="1:4" ht="15.5" x14ac:dyDescent="0.35">
      <c r="A9" s="1">
        <v>8</v>
      </c>
      <c r="B9" s="1">
        <f>'Вариант 1'!B9+2.4</f>
        <v>12.6</v>
      </c>
      <c r="C9" s="1">
        <f>'Вариант 1'!C9+2.4</f>
        <v>3.74</v>
      </c>
      <c r="D9" s="1">
        <f>'Вариант 1'!D9+2.4</f>
        <v>2.67</v>
      </c>
    </row>
    <row r="10" spans="1:4" ht="15.5" x14ac:dyDescent="0.35">
      <c r="A10" s="1">
        <v>9</v>
      </c>
      <c r="B10" s="1">
        <f>'Вариант 1'!B10+2.4</f>
        <v>12.07</v>
      </c>
      <c r="C10" s="1">
        <f>'Вариант 1'!C10+2.4</f>
        <v>3.46</v>
      </c>
      <c r="D10" s="1">
        <f>'Вариант 1'!D10+2.4</f>
        <v>2.6799999999999997</v>
      </c>
    </row>
    <row r="11" spans="1:4" ht="15.5" x14ac:dyDescent="0.35">
      <c r="A11" s="1">
        <v>10</v>
      </c>
      <c r="B11" s="1">
        <f>'Вариант 1'!B11+2.4</f>
        <v>11.950000000000001</v>
      </c>
      <c r="C11" s="1">
        <f>'Вариант 1'!C11+2.4</f>
        <v>3.78</v>
      </c>
      <c r="D11" s="1">
        <f>'Вариант 1'!D11+2.4</f>
        <v>2.66</v>
      </c>
    </row>
    <row r="12" spans="1:4" ht="15.5" x14ac:dyDescent="0.35">
      <c r="A12" s="1">
        <v>11</v>
      </c>
      <c r="B12" s="1">
        <f>'Вариант 1'!B12+2.4</f>
        <v>12.700000000000001</v>
      </c>
      <c r="C12" s="1">
        <f>'Вариант 1'!C12+2.4</f>
        <v>3.3499999999999996</v>
      </c>
      <c r="D12" s="1">
        <f>'Вариант 1'!D12+2.4</f>
        <v>2.63</v>
      </c>
    </row>
    <row r="13" spans="1:4" ht="15.5" x14ac:dyDescent="0.35">
      <c r="A13" s="1">
        <v>12</v>
      </c>
      <c r="B13" s="1">
        <f>'Вариант 1'!B13+2.4</f>
        <v>14</v>
      </c>
      <c r="C13" s="1">
        <f>'Вариант 1'!C13+2.4</f>
        <v>3.26</v>
      </c>
      <c r="D13" s="1">
        <f>'Вариант 1'!D13+2.4</f>
        <v>2.6799999999999997</v>
      </c>
    </row>
    <row r="14" spans="1:4" ht="15.5" x14ac:dyDescent="0.35">
      <c r="A14" s="1">
        <v>13</v>
      </c>
      <c r="B14" s="1">
        <f>'Вариант 1'!B14+2.4</f>
        <v>14.8</v>
      </c>
      <c r="C14" s="1">
        <f>'Вариант 1'!C14+2.4</f>
        <v>3.37</v>
      </c>
      <c r="D14" s="1">
        <f>'Вариант 1'!D14+2.4</f>
        <v>2.67</v>
      </c>
    </row>
    <row r="15" spans="1:4" ht="15.5" x14ac:dyDescent="0.35">
      <c r="A15" s="1">
        <v>14</v>
      </c>
      <c r="B15" s="1">
        <f>'Вариант 1'!B15+2.4</f>
        <v>13.700000000000001</v>
      </c>
      <c r="C15" s="1">
        <f>'Вариант 1'!C15+2.4</f>
        <v>3.46</v>
      </c>
      <c r="D15" s="1">
        <f>'Вариант 1'!D15+2.4</f>
        <v>2.66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5"/>
  <sheetViews>
    <sheetView workbookViewId="0">
      <selection sqref="A1:D15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1'!B2+2.5</f>
        <v>12.2</v>
      </c>
      <c r="C2" s="1">
        <f>'Вариант 1'!C2+2.5</f>
        <v>4.09</v>
      </c>
      <c r="D2" s="1">
        <f>'Вариант 1'!D2+2.5</f>
        <v>2.75</v>
      </c>
    </row>
    <row r="3" spans="1:4" ht="15.5" x14ac:dyDescent="0.35">
      <c r="A3" s="1">
        <v>2</v>
      </c>
      <c r="B3" s="1">
        <f>'Вариант 1'!B3+2.5</f>
        <v>12.45</v>
      </c>
      <c r="C3" s="1">
        <f>'Вариант 1'!C3+2.5</f>
        <v>3.76</v>
      </c>
      <c r="D3" s="1">
        <f>'Вариант 1'!D3+2.5</f>
        <v>2.76</v>
      </c>
    </row>
    <row r="4" spans="1:4" ht="15.5" x14ac:dyDescent="0.35">
      <c r="A4" s="1">
        <v>3</v>
      </c>
      <c r="B4" s="1">
        <f>'Вариант 1'!B4+2.5</f>
        <v>10.9</v>
      </c>
      <c r="C4" s="1">
        <f>'Вариант 1'!C4+2.5</f>
        <v>3.38</v>
      </c>
      <c r="D4" s="1">
        <f>'Вариант 1'!D4+2.5</f>
        <v>2.79</v>
      </c>
    </row>
    <row r="5" spans="1:4" ht="15.5" x14ac:dyDescent="0.35">
      <c r="A5" s="1">
        <v>4</v>
      </c>
      <c r="B5" s="1">
        <f>'Вариант 1'!B5+2.5</f>
        <v>11.28</v>
      </c>
      <c r="C5" s="1">
        <f>'Вариант 1'!C5+2.5</f>
        <v>3.63</v>
      </c>
      <c r="D5" s="1">
        <f>'Вариант 1'!D5+2.5</f>
        <v>2.77</v>
      </c>
    </row>
    <row r="6" spans="1:4" ht="15.5" x14ac:dyDescent="0.35">
      <c r="A6" s="1">
        <v>5</v>
      </c>
      <c r="B6" s="1">
        <f>'Вариант 1'!B6+2.5</f>
        <v>13</v>
      </c>
      <c r="C6" s="1">
        <f>'Вариант 1'!C6+2.5</f>
        <v>3.14</v>
      </c>
      <c r="D6" s="1">
        <f>'Вариант 1'!D6+2.5</f>
        <v>2.74</v>
      </c>
    </row>
    <row r="7" spans="1:4" ht="15.5" x14ac:dyDescent="0.35">
      <c r="A7" s="1">
        <v>6</v>
      </c>
      <c r="B7" s="1">
        <f>'Вариант 1'!B7+2.5</f>
        <v>13.7</v>
      </c>
      <c r="C7" s="1">
        <f>'Вариант 1'!C7+2.5</f>
        <v>3.09</v>
      </c>
      <c r="D7" s="1">
        <f>'Вариант 1'!D7+2.5</f>
        <v>2.81</v>
      </c>
    </row>
    <row r="8" spans="1:4" ht="15.5" x14ac:dyDescent="0.35">
      <c r="A8" s="1">
        <v>7</v>
      </c>
      <c r="B8" s="1">
        <f>'Вариант 1'!B8+2.5</f>
        <v>14.5</v>
      </c>
      <c r="C8" s="1">
        <f>'Вариант 1'!C8+2.5</f>
        <v>3.23</v>
      </c>
      <c r="D8" s="1">
        <f>'Вариант 1'!D8+2.5</f>
        <v>2.77</v>
      </c>
    </row>
    <row r="9" spans="1:4" ht="15.5" x14ac:dyDescent="0.35">
      <c r="A9" s="1">
        <v>8</v>
      </c>
      <c r="B9" s="1">
        <f>'Вариант 1'!B9+2.5</f>
        <v>12.7</v>
      </c>
      <c r="C9" s="1">
        <f>'Вариант 1'!C9+2.5</f>
        <v>3.84</v>
      </c>
      <c r="D9" s="1">
        <f>'Вариант 1'!D9+2.5</f>
        <v>2.77</v>
      </c>
    </row>
    <row r="10" spans="1:4" ht="15.5" x14ac:dyDescent="0.35">
      <c r="A10" s="1">
        <v>9</v>
      </c>
      <c r="B10" s="1">
        <f>'Вариант 1'!B10+2.5</f>
        <v>12.17</v>
      </c>
      <c r="C10" s="1">
        <f>'Вариант 1'!C10+2.5</f>
        <v>3.56</v>
      </c>
      <c r="D10" s="1">
        <f>'Вариант 1'!D10+2.5</f>
        <v>2.7800000000000002</v>
      </c>
    </row>
    <row r="11" spans="1:4" ht="15.5" x14ac:dyDescent="0.35">
      <c r="A11" s="1">
        <v>10</v>
      </c>
      <c r="B11" s="1">
        <f>'Вариант 1'!B11+2.5</f>
        <v>12.05</v>
      </c>
      <c r="C11" s="1">
        <f>'Вариант 1'!C11+2.5</f>
        <v>3.88</v>
      </c>
      <c r="D11" s="1">
        <f>'Вариант 1'!D11+2.5</f>
        <v>2.76</v>
      </c>
    </row>
    <row r="12" spans="1:4" ht="15.5" x14ac:dyDescent="0.35">
      <c r="A12" s="1">
        <v>11</v>
      </c>
      <c r="B12" s="1">
        <f>'Вариант 1'!B12+2.5</f>
        <v>12.8</v>
      </c>
      <c r="C12" s="1">
        <f>'Вариант 1'!C12+2.5</f>
        <v>3.45</v>
      </c>
      <c r="D12" s="1">
        <f>'Вариант 1'!D12+2.5</f>
        <v>2.73</v>
      </c>
    </row>
    <row r="13" spans="1:4" ht="15.5" x14ac:dyDescent="0.35">
      <c r="A13" s="1">
        <v>12</v>
      </c>
      <c r="B13" s="1">
        <f>'Вариант 1'!B13+2.5</f>
        <v>14.1</v>
      </c>
      <c r="C13" s="1">
        <f>'Вариант 1'!C13+2.5</f>
        <v>3.36</v>
      </c>
      <c r="D13" s="1">
        <f>'Вариант 1'!D13+2.5</f>
        <v>2.7800000000000002</v>
      </c>
    </row>
    <row r="14" spans="1:4" ht="15.5" x14ac:dyDescent="0.35">
      <c r="A14" s="1">
        <v>13</v>
      </c>
      <c r="B14" s="1">
        <f>'Вариант 1'!B14+2.5</f>
        <v>14.9</v>
      </c>
      <c r="C14" s="1">
        <f>'Вариант 1'!C14+2.5</f>
        <v>3.4699999999999998</v>
      </c>
      <c r="D14" s="1">
        <f>'Вариант 1'!D14+2.5</f>
        <v>2.77</v>
      </c>
    </row>
    <row r="15" spans="1:4" ht="15.5" x14ac:dyDescent="0.35">
      <c r="A15" s="1">
        <v>14</v>
      </c>
      <c r="B15" s="1">
        <f>'Вариант 1'!B15+2.5</f>
        <v>13.8</v>
      </c>
      <c r="C15" s="1">
        <f>'Вариант 1'!C15+2.5</f>
        <v>3.56</v>
      </c>
      <c r="D15" s="1">
        <f>'Вариант 1'!D15+2.5</f>
        <v>2.76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5"/>
  <sheetViews>
    <sheetView workbookViewId="0">
      <selection activeCell="G17" sqref="G17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f>'Вариант 1'!B2+2.6</f>
        <v>12.299999999999999</v>
      </c>
      <c r="C2" s="1">
        <f>'Вариант 1'!C2+2.6</f>
        <v>4.1900000000000004</v>
      </c>
      <c r="D2" s="1">
        <f>'Вариант 1'!D2+2.6</f>
        <v>2.85</v>
      </c>
    </row>
    <row r="3" spans="1:4" ht="15.5" x14ac:dyDescent="0.35">
      <c r="A3" s="1">
        <v>2</v>
      </c>
      <c r="B3" s="1">
        <f>'Вариант 1'!B3+2.6</f>
        <v>12.549999999999999</v>
      </c>
      <c r="C3" s="1">
        <f>'Вариант 1'!C3+2.6</f>
        <v>3.8600000000000003</v>
      </c>
      <c r="D3" s="1">
        <f>'Вариант 1'!D3+2.6</f>
        <v>2.8600000000000003</v>
      </c>
    </row>
    <row r="4" spans="1:4" ht="15.5" x14ac:dyDescent="0.35">
      <c r="A4" s="1">
        <v>3</v>
      </c>
      <c r="B4" s="1">
        <f>'Вариант 1'!B4+2.6</f>
        <v>11</v>
      </c>
      <c r="C4" s="1">
        <f>'Вариант 1'!C4+2.6</f>
        <v>3.48</v>
      </c>
      <c r="D4" s="1">
        <f>'Вариант 1'!D4+2.6</f>
        <v>2.89</v>
      </c>
    </row>
    <row r="5" spans="1:4" ht="15.5" x14ac:dyDescent="0.35">
      <c r="A5" s="1">
        <v>4</v>
      </c>
      <c r="B5" s="1">
        <f>'Вариант 1'!B5+2.6</f>
        <v>11.379999999999999</v>
      </c>
      <c r="C5" s="1">
        <f>'Вариант 1'!C5+2.6</f>
        <v>3.73</v>
      </c>
      <c r="D5" s="1">
        <f>'Вариант 1'!D5+2.6</f>
        <v>2.87</v>
      </c>
    </row>
    <row r="6" spans="1:4" ht="15.5" x14ac:dyDescent="0.35">
      <c r="A6" s="1">
        <v>5</v>
      </c>
      <c r="B6" s="1">
        <f>'Вариант 1'!B6+2.6</f>
        <v>13.1</v>
      </c>
      <c r="C6" s="1">
        <f>'Вариант 1'!C6+2.6</f>
        <v>3.24</v>
      </c>
      <c r="D6" s="1">
        <f>'Вариант 1'!D6+2.6</f>
        <v>2.84</v>
      </c>
    </row>
    <row r="7" spans="1:4" ht="15.5" x14ac:dyDescent="0.35">
      <c r="A7" s="1">
        <v>6</v>
      </c>
      <c r="B7" s="1">
        <f>'Вариант 1'!B7+2.6</f>
        <v>13.799999999999999</v>
      </c>
      <c r="C7" s="1">
        <f>'Вариант 1'!C7+2.6</f>
        <v>3.19</v>
      </c>
      <c r="D7" s="1">
        <f>'Вариант 1'!D7+2.6</f>
        <v>2.91</v>
      </c>
    </row>
    <row r="8" spans="1:4" ht="15.5" x14ac:dyDescent="0.35">
      <c r="A8" s="1">
        <v>7</v>
      </c>
      <c r="B8" s="1">
        <f>'Вариант 1'!B8+2.6</f>
        <v>14.6</v>
      </c>
      <c r="C8" s="1">
        <f>'Вариант 1'!C8+2.6</f>
        <v>3.33</v>
      </c>
      <c r="D8" s="1">
        <f>'Вариант 1'!D8+2.6</f>
        <v>2.87</v>
      </c>
    </row>
    <row r="9" spans="1:4" ht="15.5" x14ac:dyDescent="0.35">
      <c r="A9" s="1">
        <v>8</v>
      </c>
      <c r="B9" s="1">
        <f>'Вариант 1'!B9+2.6</f>
        <v>12.799999999999999</v>
      </c>
      <c r="C9" s="1">
        <f>'Вариант 1'!C9+2.6</f>
        <v>3.9400000000000004</v>
      </c>
      <c r="D9" s="1">
        <f>'Вариант 1'!D9+2.6</f>
        <v>2.87</v>
      </c>
    </row>
    <row r="10" spans="1:4" ht="15.5" x14ac:dyDescent="0.35">
      <c r="A10" s="1">
        <v>9</v>
      </c>
      <c r="B10" s="1">
        <f>'Вариант 1'!B10+2.6</f>
        <v>12.27</v>
      </c>
      <c r="C10" s="1">
        <f>'Вариант 1'!C10+2.6</f>
        <v>3.66</v>
      </c>
      <c r="D10" s="1">
        <f>'Вариант 1'!D10+2.6</f>
        <v>2.88</v>
      </c>
    </row>
    <row r="11" spans="1:4" ht="15.5" x14ac:dyDescent="0.35">
      <c r="A11" s="1">
        <v>10</v>
      </c>
      <c r="B11" s="1">
        <f>'Вариант 1'!B11+2.6</f>
        <v>12.15</v>
      </c>
      <c r="C11" s="1">
        <f>'Вариант 1'!C11+2.6</f>
        <v>3.98</v>
      </c>
      <c r="D11" s="1">
        <f>'Вариант 1'!D11+2.6</f>
        <v>2.8600000000000003</v>
      </c>
    </row>
    <row r="12" spans="1:4" ht="15.5" x14ac:dyDescent="0.35">
      <c r="A12" s="1">
        <v>11</v>
      </c>
      <c r="B12" s="1">
        <f>'Вариант 1'!B12+2.6</f>
        <v>12.9</v>
      </c>
      <c r="C12" s="1">
        <f>'Вариант 1'!C12+2.6</f>
        <v>3.55</v>
      </c>
      <c r="D12" s="1">
        <f>'Вариант 1'!D12+2.6</f>
        <v>2.83</v>
      </c>
    </row>
    <row r="13" spans="1:4" ht="15.5" x14ac:dyDescent="0.35">
      <c r="A13" s="1">
        <v>12</v>
      </c>
      <c r="B13" s="1">
        <f>'Вариант 1'!B13+2.6</f>
        <v>14.2</v>
      </c>
      <c r="C13" s="1">
        <f>'Вариант 1'!C13+2.6</f>
        <v>3.46</v>
      </c>
      <c r="D13" s="1">
        <f>'Вариант 1'!D13+2.6</f>
        <v>2.88</v>
      </c>
    </row>
    <row r="14" spans="1:4" ht="15.5" x14ac:dyDescent="0.35">
      <c r="A14" s="1">
        <v>13</v>
      </c>
      <c r="B14" s="1">
        <f>'Вариант 1'!B14+2.6</f>
        <v>15</v>
      </c>
      <c r="C14" s="1">
        <f>'Вариант 1'!C14+2.6</f>
        <v>3.5700000000000003</v>
      </c>
      <c r="D14" s="1">
        <f>'Вариант 1'!D14+2.6</f>
        <v>2.87</v>
      </c>
    </row>
    <row r="15" spans="1:4" ht="15.5" x14ac:dyDescent="0.35">
      <c r="A15" s="1">
        <v>14</v>
      </c>
      <c r="B15" s="1">
        <f>'Вариант 1'!B15+2.6</f>
        <v>13.9</v>
      </c>
      <c r="C15" s="1">
        <f>'Вариант 1'!C15+2.6</f>
        <v>3.66</v>
      </c>
      <c r="D15" s="1">
        <f>'Вариант 1'!D15+2.6</f>
        <v>2.8600000000000003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26</vt:i4>
      </vt:variant>
    </vt:vector>
  </HeadingPairs>
  <TitlesOfParts>
    <vt:vector size="26" baseType="lpstr">
      <vt:lpstr>Вариант 1</vt:lpstr>
      <vt:lpstr>Вариант 2</vt:lpstr>
      <vt:lpstr>Вариант 3</vt:lpstr>
      <vt:lpstr>Вариант 4</vt:lpstr>
      <vt:lpstr>Вариант 5</vt:lpstr>
      <vt:lpstr>Вариант 6</vt:lpstr>
      <vt:lpstr>Вариант 7</vt:lpstr>
      <vt:lpstr>Вариант 8</vt:lpstr>
      <vt:lpstr>Вариант 9</vt:lpstr>
      <vt:lpstr>Вариант 10</vt:lpstr>
      <vt:lpstr>Вариант 11</vt:lpstr>
      <vt:lpstr>Вариант 12</vt:lpstr>
      <vt:lpstr>Вариант 13</vt:lpstr>
      <vt:lpstr>Вариант 14</vt:lpstr>
      <vt:lpstr>Вариант 15</vt:lpstr>
      <vt:lpstr>Вариант  16</vt:lpstr>
      <vt:lpstr>Вариант 17</vt:lpstr>
      <vt:lpstr>Вариант 18</vt:lpstr>
      <vt:lpstr>Вариант 19</vt:lpstr>
      <vt:lpstr>Вариант 20</vt:lpstr>
      <vt:lpstr>Вариант 21</vt:lpstr>
      <vt:lpstr>Вариант 22</vt:lpstr>
      <vt:lpstr>Вариант 23</vt:lpstr>
      <vt:lpstr>Вариант 24</vt:lpstr>
      <vt:lpstr>Вариант 25</vt:lpstr>
      <vt:lpstr>Вариант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Василий Архипов</cp:lastModifiedBy>
  <dcterms:created xsi:type="dcterms:W3CDTF">2020-12-24T00:24:18Z</dcterms:created>
  <dcterms:modified xsi:type="dcterms:W3CDTF">2025-10-24T14:22:18Z</dcterms:modified>
</cp:coreProperties>
</file>