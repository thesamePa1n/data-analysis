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ya\OneDrive\Рабочий стол\data analysis\laba5\"/>
    </mc:Choice>
  </mc:AlternateContent>
  <xr:revisionPtr revIDLastSave="0" documentId="8_{456A7BCB-BB9C-4C92-9E98-2FF76C04B06B}" xr6:coauthVersionLast="47" xr6:coauthVersionMax="47" xr10:uidLastSave="{00000000-0000-0000-0000-000000000000}"/>
  <bookViews>
    <workbookView xWindow="-110" yWindow="-110" windowWidth="19420" windowHeight="10300" xr2:uid="{0CD6164B-A206-404F-8CDF-F3EBEA21458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1" l="1"/>
  <c r="Q35" i="1"/>
  <c r="Q36" i="1"/>
  <c r="Q37" i="1"/>
  <c r="Q38" i="1"/>
  <c r="Q39" i="1"/>
  <c r="Q40" i="1"/>
  <c r="Q33" i="1"/>
  <c r="P40" i="1"/>
  <c r="P39" i="1"/>
  <c r="P38" i="1"/>
  <c r="P37" i="1"/>
  <c r="P36" i="1"/>
  <c r="P35" i="1"/>
  <c r="P34" i="1"/>
  <c r="P33" i="1"/>
  <c r="O40" i="1"/>
  <c r="O39" i="1"/>
  <c r="O38" i="1"/>
  <c r="O37" i="1"/>
  <c r="O36" i="1"/>
  <c r="O35" i="1"/>
  <c r="O34" i="1"/>
  <c r="O33" i="1"/>
  <c r="N34" i="1"/>
  <c r="N35" i="1"/>
  <c r="N36" i="1"/>
  <c r="N37" i="1"/>
  <c r="N38" i="1"/>
  <c r="N39" i="1"/>
  <c r="N40" i="1"/>
  <c r="N33" i="1"/>
  <c r="E37" i="1"/>
  <c r="F35" i="1"/>
  <c r="E35" i="1"/>
  <c r="C34" i="1"/>
  <c r="C35" i="1"/>
  <c r="C36" i="1"/>
  <c r="C37" i="1"/>
  <c r="C38" i="1"/>
  <c r="C39" i="1"/>
  <c r="C40" i="1"/>
  <c r="C41" i="1"/>
  <c r="C42" i="1"/>
  <c r="C43" i="1"/>
  <c r="C44" i="1"/>
  <c r="C33" i="1"/>
  <c r="B42" i="1"/>
  <c r="B43" i="1"/>
  <c r="B44" i="1"/>
  <c r="B35" i="1"/>
  <c r="B36" i="1"/>
  <c r="B37" i="1"/>
  <c r="B38" i="1"/>
  <c r="B39" i="1"/>
  <c r="B40" i="1"/>
  <c r="B41" i="1"/>
  <c r="B34" i="1"/>
  <c r="B33" i="1"/>
  <c r="H20" i="1"/>
  <c r="H21" i="1"/>
  <c r="H22" i="1"/>
  <c r="H23" i="1"/>
  <c r="H24" i="1"/>
  <c r="H25" i="1"/>
  <c r="H26" i="1"/>
  <c r="H27" i="1"/>
  <c r="H28" i="1"/>
  <c r="H29" i="1"/>
  <c r="H30" i="1"/>
  <c r="H19" i="1"/>
  <c r="G20" i="1"/>
  <c r="G21" i="1"/>
  <c r="G22" i="1"/>
  <c r="G23" i="1"/>
  <c r="G24" i="1"/>
  <c r="G25" i="1"/>
  <c r="G26" i="1"/>
  <c r="G27" i="1"/>
  <c r="G28" i="1"/>
  <c r="G29" i="1"/>
  <c r="G30" i="1"/>
  <c r="G19" i="1"/>
  <c r="F30" i="1"/>
  <c r="F29" i="1"/>
  <c r="F28" i="1"/>
  <c r="F27" i="1"/>
  <c r="F26" i="1"/>
  <c r="F25" i="1"/>
  <c r="F24" i="1"/>
  <c r="F23" i="1"/>
  <c r="F22" i="1"/>
  <c r="F21" i="1"/>
  <c r="F20" i="1"/>
  <c r="F19" i="1"/>
  <c r="S29" i="1"/>
  <c r="R29" i="1"/>
  <c r="Q29" i="1"/>
  <c r="P29" i="1"/>
  <c r="O29" i="1"/>
  <c r="T27" i="1"/>
  <c r="T26" i="1"/>
  <c r="S28" i="1"/>
  <c r="R28" i="1"/>
  <c r="Q28" i="1"/>
  <c r="P28" i="1"/>
  <c r="O28" i="1"/>
  <c r="R27" i="1"/>
  <c r="Q27" i="1"/>
  <c r="P27" i="1"/>
  <c r="O27" i="1"/>
  <c r="R26" i="1"/>
  <c r="Q26" i="1"/>
  <c r="P26" i="1"/>
  <c r="O26" i="1"/>
  <c r="P25" i="1"/>
  <c r="O25" i="1"/>
  <c r="R24" i="1"/>
  <c r="Q24" i="1"/>
  <c r="P24" i="1"/>
  <c r="O24" i="1"/>
  <c r="R23" i="1"/>
  <c r="Q23" i="1"/>
  <c r="E30" i="1"/>
  <c r="E29" i="1"/>
  <c r="E28" i="1"/>
  <c r="E27" i="1"/>
  <c r="E26" i="1"/>
  <c r="E25" i="1"/>
  <c r="E24" i="1"/>
  <c r="E23" i="1"/>
  <c r="E22" i="1"/>
  <c r="E21" i="1"/>
  <c r="E20" i="1"/>
  <c r="E19" i="1"/>
  <c r="D30" i="1"/>
  <c r="D29" i="1"/>
  <c r="D28" i="1"/>
  <c r="D27" i="1"/>
  <c r="D26" i="1"/>
  <c r="D25" i="1"/>
  <c r="D24" i="1"/>
  <c r="D23" i="1"/>
  <c r="D22" i="1"/>
  <c r="D21" i="1"/>
  <c r="D20" i="1"/>
  <c r="D19" i="1"/>
  <c r="B27" i="1"/>
  <c r="B28" i="1"/>
  <c r="B29" i="1" s="1"/>
  <c r="B30" i="1" s="1"/>
  <c r="B21" i="1"/>
  <c r="B22" i="1"/>
  <c r="B23" i="1"/>
  <c r="B24" i="1" s="1"/>
  <c r="B25" i="1" s="1"/>
  <c r="B26" i="1" s="1"/>
  <c r="B20" i="1"/>
  <c r="X15" i="1"/>
  <c r="X13" i="1"/>
  <c r="X12" i="1"/>
  <c r="X11" i="1"/>
  <c r="X10" i="1"/>
  <c r="X9" i="1"/>
  <c r="X8" i="1"/>
  <c r="X7" i="1"/>
  <c r="X3" i="1"/>
  <c r="X5" i="1"/>
  <c r="X6" i="1"/>
  <c r="X4" i="1"/>
  <c r="X2" i="1"/>
  <c r="W15" i="1"/>
  <c r="W13" i="1"/>
  <c r="W12" i="1"/>
  <c r="W11" i="1"/>
  <c r="W10" i="1"/>
  <c r="W9" i="1"/>
  <c r="W8" i="1"/>
  <c r="W7" i="1"/>
  <c r="W6" i="1"/>
  <c r="W5" i="1"/>
  <c r="W4" i="1"/>
  <c r="W3" i="1"/>
  <c r="W2" i="1"/>
  <c r="V15" i="1"/>
  <c r="U15" i="1"/>
  <c r="U3" i="1"/>
  <c r="U4" i="1"/>
  <c r="U5" i="1"/>
  <c r="U6" i="1"/>
  <c r="U7" i="1"/>
  <c r="U8" i="1"/>
  <c r="U9" i="1"/>
  <c r="U10" i="1"/>
  <c r="U11" i="1"/>
  <c r="U12" i="1"/>
  <c r="U13" i="1"/>
  <c r="U2" i="1"/>
  <c r="T15" i="1"/>
  <c r="T3" i="1"/>
  <c r="T4" i="1"/>
  <c r="T5" i="1"/>
  <c r="T6" i="1"/>
  <c r="T7" i="1"/>
  <c r="T8" i="1"/>
  <c r="T9" i="1"/>
  <c r="T10" i="1"/>
  <c r="T11" i="1"/>
  <c r="T12" i="1"/>
  <c r="T13" i="1"/>
  <c r="T2" i="1"/>
  <c r="S15" i="1"/>
  <c r="S3" i="1"/>
  <c r="S4" i="1"/>
  <c r="S5" i="1"/>
  <c r="S6" i="1"/>
  <c r="S7" i="1"/>
  <c r="S8" i="1"/>
  <c r="S9" i="1"/>
  <c r="S10" i="1"/>
  <c r="S11" i="1"/>
  <c r="S12" i="1"/>
  <c r="S13" i="1"/>
  <c r="S2" i="1"/>
  <c r="R15" i="1"/>
  <c r="J16" i="1"/>
  <c r="I16" i="1"/>
  <c r="H16" i="1"/>
  <c r="G16" i="1"/>
  <c r="F16" i="1"/>
  <c r="E16" i="1"/>
  <c r="D16" i="1"/>
  <c r="C16" i="1"/>
  <c r="J14" i="1"/>
  <c r="I14" i="1"/>
  <c r="H14" i="1"/>
  <c r="G14" i="1"/>
  <c r="F14" i="1"/>
  <c r="E14" i="1"/>
  <c r="D14" i="1"/>
  <c r="C14" i="1"/>
  <c r="K12" i="1"/>
  <c r="J12" i="1"/>
  <c r="I12" i="1"/>
  <c r="H12" i="1"/>
  <c r="G12" i="1"/>
  <c r="F12" i="1"/>
  <c r="E12" i="1"/>
  <c r="D12" i="1"/>
  <c r="C12" i="1"/>
  <c r="K10" i="1"/>
  <c r="J10" i="1"/>
  <c r="I10" i="1"/>
  <c r="H10" i="1"/>
  <c r="G10" i="1"/>
  <c r="F10" i="1"/>
  <c r="E10" i="1"/>
  <c r="D10" i="1"/>
  <c r="C10" i="1"/>
  <c r="N2" i="1"/>
</calcChain>
</file>

<file path=xl/sharedStrings.xml><?xml version="1.0" encoding="utf-8"?>
<sst xmlns="http://schemas.openxmlformats.org/spreadsheetml/2006/main" count="50" uniqueCount="40">
  <si>
    <r>
      <t>y</t>
    </r>
    <r>
      <rPr>
        <vertAlign val="subscript"/>
        <sz val="14"/>
        <color theme="1"/>
        <rFont val="Aptos Narrow"/>
        <family val="2"/>
        <scheme val="minor"/>
      </rPr>
      <t>t</t>
    </r>
  </si>
  <si>
    <r>
      <t>y</t>
    </r>
    <r>
      <rPr>
        <vertAlign val="subscript"/>
        <sz val="14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charset val="204"/>
        <scheme val="minor"/>
      </rPr>
      <t xml:space="preserve"> - y</t>
    </r>
    <r>
      <rPr>
        <vertAlign val="subscript"/>
        <sz val="14"/>
        <color theme="1"/>
        <rFont val="Aptos Narrow"/>
        <family val="2"/>
        <scheme val="minor"/>
      </rPr>
      <t>t-1</t>
    </r>
  </si>
  <si>
    <t>-</t>
  </si>
  <si>
    <t>y среднее</t>
  </si>
  <si>
    <r>
      <t>S</t>
    </r>
    <r>
      <rPr>
        <vertAlign val="subscript"/>
        <sz val="14"/>
        <color theme="1"/>
        <rFont val="Aptos Narrow"/>
        <family val="2"/>
        <scheme val="minor"/>
      </rPr>
      <t>y</t>
    </r>
  </si>
  <si>
    <t>1.7230886886019183</t>
  </si>
  <si>
    <t>Итого за 4 квартала</t>
  </si>
  <si>
    <t>Скользящая средняя за 4 квартала</t>
  </si>
  <si>
    <t>Центрированная скользящая средняя</t>
  </si>
  <si>
    <t>Оценка сезонной компоненты A-T=S+E</t>
  </si>
  <si>
    <t>t</t>
  </si>
  <si>
    <t>t^2</t>
  </si>
  <si>
    <t>t^3</t>
  </si>
  <si>
    <t>t^4</t>
  </si>
  <si>
    <t>yt_sum</t>
  </si>
  <si>
    <t>Y</t>
  </si>
  <si>
    <t>T</t>
  </si>
  <si>
    <t>a</t>
  </si>
  <si>
    <t>b</t>
  </si>
  <si>
    <t>c</t>
  </si>
  <si>
    <t>S</t>
  </si>
  <si>
    <t>ГОД</t>
  </si>
  <si>
    <t>номер квартала</t>
  </si>
  <si>
    <t>ном к</t>
  </si>
  <si>
    <t>итого</t>
  </si>
  <si>
    <t>ср значение</t>
  </si>
  <si>
    <t>оценСезКом</t>
  </si>
  <si>
    <t>сумма сезонных компонентов до коррекции</t>
  </si>
  <si>
    <t>корректировка</t>
  </si>
  <si>
    <t>Скоррек СК</t>
  </si>
  <si>
    <t>T+S</t>
  </si>
  <si>
    <t>E</t>
  </si>
  <si>
    <t>E**2</t>
  </si>
  <si>
    <t>|E|</t>
  </si>
  <si>
    <t>MSE</t>
  </si>
  <si>
    <t>MAD</t>
  </si>
  <si>
    <t>RMSA</t>
  </si>
  <si>
    <t>квартал</t>
  </si>
  <si>
    <t>t**2</t>
  </si>
  <si>
    <t>Y=T+S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</si>
</sst>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vertAlign val="subscript"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2" xfId="0" applyFill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511175</xdr:colOff>
      <xdr:row>6</xdr:row>
      <xdr:rowOff>6350</xdr:rowOff>
    </xdr:from>
    <xdr:ext cx="15331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348D17A-5D98-BF9C-01A2-C8C29C4E11E9}"/>
                </a:ext>
              </a:extLst>
            </xdr:cNvPr>
            <xdr:cNvSpPr txBox="1"/>
          </xdr:nvSpPr>
          <xdr:spPr>
            <a:xfrm>
              <a:off x="1120775" y="1263650"/>
              <a:ext cx="15331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348D17A-5D98-BF9C-01A2-C8C29C4E11E9}"/>
                </a:ext>
              </a:extLst>
            </xdr:cNvPr>
            <xdr:cNvSpPr txBox="1"/>
          </xdr:nvSpPr>
          <xdr:spPr>
            <a:xfrm>
              <a:off x="1120775" y="1263650"/>
              <a:ext cx="15331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𝜆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520700</xdr:colOff>
      <xdr:row>6</xdr:row>
      <xdr:rowOff>0</xdr:rowOff>
    </xdr:from>
    <xdr:ext cx="15331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86060FD-758F-4520-B870-82995959130D}"/>
                </a:ext>
              </a:extLst>
            </xdr:cNvPr>
            <xdr:cNvSpPr txBox="1"/>
          </xdr:nvSpPr>
          <xdr:spPr>
            <a:xfrm>
              <a:off x="3568700" y="1257300"/>
              <a:ext cx="15331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86060FD-758F-4520-B870-82995959130D}"/>
                </a:ext>
              </a:extLst>
            </xdr:cNvPr>
            <xdr:cNvSpPr txBox="1"/>
          </xdr:nvSpPr>
          <xdr:spPr>
            <a:xfrm>
              <a:off x="3568700" y="1257300"/>
              <a:ext cx="15331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𝜆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539750</xdr:colOff>
      <xdr:row>5</xdr:row>
      <xdr:rowOff>177800</xdr:rowOff>
    </xdr:from>
    <xdr:ext cx="15331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A239795-C67E-4B3F-B514-427514C0E287}"/>
                </a:ext>
              </a:extLst>
            </xdr:cNvPr>
            <xdr:cNvSpPr txBox="1"/>
          </xdr:nvSpPr>
          <xdr:spPr>
            <a:xfrm>
              <a:off x="6026150" y="1250950"/>
              <a:ext cx="15331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A239795-C67E-4B3F-B514-427514C0E287}"/>
                </a:ext>
              </a:extLst>
            </xdr:cNvPr>
            <xdr:cNvSpPr txBox="1"/>
          </xdr:nvSpPr>
          <xdr:spPr>
            <a:xfrm>
              <a:off x="6026150" y="1250950"/>
              <a:ext cx="15331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𝜆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7A97-7781-4157-82A4-E6391BEF0458}">
  <dimension ref="A1:X44"/>
  <sheetViews>
    <sheetView tabSelected="1" topLeftCell="A17" zoomScale="71" workbookViewId="0">
      <selection activeCell="T36" sqref="T36"/>
    </sheetView>
  </sheetViews>
  <sheetFormatPr defaultRowHeight="14.5" x14ac:dyDescent="0.35"/>
  <sheetData>
    <row r="1" spans="1:24" ht="20.5" x14ac:dyDescent="0.55000000000000004">
      <c r="A1" s="2">
        <v>2020</v>
      </c>
      <c r="B1" s="2"/>
      <c r="C1" s="2"/>
      <c r="D1" s="2"/>
      <c r="E1" s="5">
        <v>2021</v>
      </c>
      <c r="F1" s="2"/>
      <c r="G1" s="2"/>
      <c r="H1" s="7"/>
      <c r="I1" s="5">
        <v>2022</v>
      </c>
      <c r="J1" s="1"/>
      <c r="K1" s="1"/>
      <c r="L1" s="1"/>
      <c r="N1" t="s">
        <v>3</v>
      </c>
      <c r="O1" t="s">
        <v>4</v>
      </c>
    </row>
    <row r="2" spans="1:24" x14ac:dyDescent="0.35">
      <c r="A2">
        <v>1</v>
      </c>
      <c r="B2">
        <v>2</v>
      </c>
      <c r="C2">
        <v>3</v>
      </c>
      <c r="D2" s="4">
        <v>4</v>
      </c>
      <c r="E2" s="3">
        <v>1</v>
      </c>
      <c r="F2" s="6">
        <v>2</v>
      </c>
      <c r="G2" s="6">
        <v>3</v>
      </c>
      <c r="H2" s="8">
        <v>4</v>
      </c>
      <c r="I2" s="6">
        <v>1</v>
      </c>
      <c r="J2" s="6">
        <v>2</v>
      </c>
      <c r="K2" s="6">
        <v>3</v>
      </c>
      <c r="L2" s="6">
        <v>4</v>
      </c>
      <c r="N2">
        <f>SUM(A4:L4)/12</f>
        <v>30.060083333333335</v>
      </c>
      <c r="O2" t="s">
        <v>5</v>
      </c>
      <c r="R2">
        <v>1</v>
      </c>
      <c r="S2">
        <f>R2^2</f>
        <v>1</v>
      </c>
      <c r="T2">
        <f>R2^3</f>
        <v>1</v>
      </c>
      <c r="U2">
        <f>R2^4</f>
        <v>1</v>
      </c>
      <c r="W2">
        <f>A4*R2</f>
        <v>27.553000000000001</v>
      </c>
      <c r="X2">
        <f>A4*S2</f>
        <v>27.553000000000001</v>
      </c>
    </row>
    <row r="3" spans="1:24" ht="20.5" x14ac:dyDescent="0.55000000000000004">
      <c r="A3" s="2" t="s">
        <v>0</v>
      </c>
      <c r="B3" s="2"/>
      <c r="C3" s="2"/>
      <c r="D3" s="7"/>
      <c r="E3" s="5" t="s">
        <v>0</v>
      </c>
      <c r="F3" s="2"/>
      <c r="G3" s="2"/>
      <c r="H3" s="7"/>
      <c r="I3" s="2" t="s">
        <v>0</v>
      </c>
      <c r="J3" s="2"/>
      <c r="K3" s="2"/>
      <c r="L3" s="2"/>
      <c r="R3">
        <v>2</v>
      </c>
      <c r="S3">
        <f t="shared" ref="S3:S13" si="0">R3^2</f>
        <v>4</v>
      </c>
      <c r="T3">
        <f t="shared" ref="T3:T13" si="1">R3^3</f>
        <v>8</v>
      </c>
      <c r="U3">
        <f t="shared" ref="U3:U13" si="2">R3^4</f>
        <v>16</v>
      </c>
      <c r="W3">
        <f>B4*R3</f>
        <v>56.142000000000003</v>
      </c>
      <c r="X3">
        <f>B4*S3</f>
        <v>112.28400000000001</v>
      </c>
    </row>
    <row r="4" spans="1:24" x14ac:dyDescent="0.35">
      <c r="A4">
        <v>27.553000000000001</v>
      </c>
      <c r="B4">
        <v>28.071000000000002</v>
      </c>
      <c r="C4">
        <v>28.161999999999999</v>
      </c>
      <c r="D4" s="4">
        <v>28.643000000000001</v>
      </c>
      <c r="E4" s="3">
        <v>29.635999999999999</v>
      </c>
      <c r="F4" s="6">
        <v>29.876000000000001</v>
      </c>
      <c r="G4" s="6">
        <v>30.015000000000001</v>
      </c>
      <c r="H4" s="8">
        <v>30.619</v>
      </c>
      <c r="I4" s="6">
        <v>31.655999999999999</v>
      </c>
      <c r="J4" s="6">
        <v>31.821999999999999</v>
      </c>
      <c r="K4" s="6">
        <v>31.956</v>
      </c>
      <c r="L4" s="6">
        <v>32.712000000000003</v>
      </c>
      <c r="R4">
        <v>3</v>
      </c>
      <c r="S4">
        <f t="shared" si="0"/>
        <v>9</v>
      </c>
      <c r="T4">
        <f t="shared" si="1"/>
        <v>27</v>
      </c>
      <c r="U4">
        <f t="shared" si="2"/>
        <v>81</v>
      </c>
      <c r="W4">
        <f>C4*R4</f>
        <v>84.48599999999999</v>
      </c>
      <c r="X4">
        <f>C4*S4</f>
        <v>253.458</v>
      </c>
    </row>
    <row r="5" spans="1:24" ht="20.5" x14ac:dyDescent="0.55000000000000004">
      <c r="A5" s="2" t="s">
        <v>1</v>
      </c>
      <c r="B5" s="2"/>
      <c r="C5" s="2"/>
      <c r="D5" s="7"/>
      <c r="E5" s="5" t="s">
        <v>1</v>
      </c>
      <c r="F5" s="2"/>
      <c r="G5" s="2"/>
      <c r="H5" s="7"/>
      <c r="I5" s="1" t="s">
        <v>1</v>
      </c>
      <c r="J5" s="1"/>
      <c r="K5" s="1"/>
      <c r="L5" s="1"/>
      <c r="R5">
        <v>4</v>
      </c>
      <c r="S5">
        <f t="shared" si="0"/>
        <v>16</v>
      </c>
      <c r="T5">
        <f t="shared" si="1"/>
        <v>64</v>
      </c>
      <c r="U5">
        <f t="shared" si="2"/>
        <v>256</v>
      </c>
      <c r="W5">
        <f>D4*R5</f>
        <v>114.572</v>
      </c>
      <c r="X5">
        <f>D4*S5</f>
        <v>458.28800000000001</v>
      </c>
    </row>
    <row r="6" spans="1:24" x14ac:dyDescent="0.35">
      <c r="A6" t="s">
        <v>2</v>
      </c>
      <c r="B6">
        <v>0.51800000000000002</v>
      </c>
      <c r="C6">
        <v>9.0999999999999998E-2</v>
      </c>
      <c r="D6" s="9">
        <v>0.48099999999999998</v>
      </c>
      <c r="E6">
        <v>0.99299999999999999</v>
      </c>
      <c r="F6">
        <v>0.24</v>
      </c>
      <c r="G6">
        <v>0.13900000000000001</v>
      </c>
      <c r="H6" s="9">
        <v>0.60399999999999998</v>
      </c>
      <c r="I6">
        <v>1.0369999999999999</v>
      </c>
      <c r="J6">
        <v>0.16600000000000001</v>
      </c>
      <c r="K6">
        <v>0.13400000000000001</v>
      </c>
      <c r="L6">
        <v>0.75600000000000001</v>
      </c>
      <c r="R6">
        <v>5</v>
      </c>
      <c r="S6">
        <f t="shared" si="0"/>
        <v>25</v>
      </c>
      <c r="T6">
        <f t="shared" si="1"/>
        <v>125</v>
      </c>
      <c r="U6">
        <f t="shared" si="2"/>
        <v>625</v>
      </c>
      <c r="W6">
        <f>E4*R6</f>
        <v>148.18</v>
      </c>
      <c r="X6">
        <f>E4*S6</f>
        <v>740.9</v>
      </c>
    </row>
    <row r="7" spans="1:24" x14ac:dyDescent="0.35">
      <c r="A7" s="2"/>
      <c r="B7" s="2"/>
      <c r="C7" s="2"/>
      <c r="D7" s="7"/>
      <c r="E7" s="5"/>
      <c r="F7" s="2"/>
      <c r="G7" s="2"/>
      <c r="H7" s="7"/>
      <c r="I7" s="1"/>
      <c r="J7" s="1"/>
      <c r="K7" s="1"/>
      <c r="L7" s="1"/>
      <c r="R7">
        <v>6</v>
      </c>
      <c r="S7">
        <f t="shared" si="0"/>
        <v>36</v>
      </c>
      <c r="T7">
        <f t="shared" si="1"/>
        <v>216</v>
      </c>
      <c r="U7">
        <f t="shared" si="2"/>
        <v>1296</v>
      </c>
      <c r="W7">
        <f>F4*R7</f>
        <v>179.256</v>
      </c>
      <c r="X7">
        <f>F4*S7</f>
        <v>1075.5360000000001</v>
      </c>
    </row>
    <row r="8" spans="1:24" x14ac:dyDescent="0.35">
      <c r="A8" t="s">
        <v>2</v>
      </c>
      <c r="B8">
        <v>0.3</v>
      </c>
      <c r="C8">
        <v>0.05</v>
      </c>
      <c r="D8" s="9">
        <v>0.28000000000000003</v>
      </c>
      <c r="E8">
        <v>0.57999999999999996</v>
      </c>
      <c r="F8">
        <v>0.14000000000000001</v>
      </c>
      <c r="G8">
        <v>0.08</v>
      </c>
      <c r="H8" s="9">
        <v>0.35</v>
      </c>
      <c r="I8">
        <v>0.6</v>
      </c>
      <c r="J8">
        <v>9.6000000000000002E-2</v>
      </c>
      <c r="K8">
        <v>0.08</v>
      </c>
      <c r="L8">
        <v>0.44</v>
      </c>
      <c r="R8">
        <v>7</v>
      </c>
      <c r="S8">
        <f t="shared" si="0"/>
        <v>49</v>
      </c>
      <c r="T8">
        <f t="shared" si="1"/>
        <v>343</v>
      </c>
      <c r="U8">
        <f t="shared" si="2"/>
        <v>2401</v>
      </c>
      <c r="W8">
        <f>G4*R8</f>
        <v>210.10500000000002</v>
      </c>
      <c r="X8">
        <f>G4*S8</f>
        <v>1470.7350000000001</v>
      </c>
    </row>
    <row r="9" spans="1:24" x14ac:dyDescent="0.3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R9">
        <v>8</v>
      </c>
      <c r="S9">
        <f t="shared" si="0"/>
        <v>64</v>
      </c>
      <c r="T9">
        <f t="shared" si="1"/>
        <v>512</v>
      </c>
      <c r="U9">
        <f t="shared" si="2"/>
        <v>4096</v>
      </c>
      <c r="W9">
        <f>H4*R9</f>
        <v>244.952</v>
      </c>
      <c r="X9">
        <f>H4*S9</f>
        <v>1959.616</v>
      </c>
    </row>
    <row r="10" spans="1:24" x14ac:dyDescent="0.35">
      <c r="C10">
        <f>A4+B4+C4+D4</f>
        <v>112.429</v>
      </c>
      <c r="D10">
        <f>B4+C4+D4+E4</f>
        <v>114.512</v>
      </c>
      <c r="E10">
        <f>C4+D4+E4+F4</f>
        <v>116.31700000000001</v>
      </c>
      <c r="F10">
        <f>D4+E4+F4+G4</f>
        <v>118.17</v>
      </c>
      <c r="G10">
        <f>E4+F4+G4+H4</f>
        <v>120.146</v>
      </c>
      <c r="H10">
        <f>F4+G4+H4+I4</f>
        <v>122.166</v>
      </c>
      <c r="I10">
        <f>G4+H4+I4+J4</f>
        <v>124.11199999999999</v>
      </c>
      <c r="J10">
        <f>H4+I4+J4+K4</f>
        <v>126.053</v>
      </c>
      <c r="K10">
        <f>I4+J4+K4+L4</f>
        <v>128.14600000000002</v>
      </c>
      <c r="R10">
        <v>9</v>
      </c>
      <c r="S10">
        <f t="shared" si="0"/>
        <v>81</v>
      </c>
      <c r="T10">
        <f t="shared" si="1"/>
        <v>729</v>
      </c>
      <c r="U10">
        <f t="shared" si="2"/>
        <v>6561</v>
      </c>
      <c r="W10">
        <f>I4*R10</f>
        <v>284.904</v>
      </c>
      <c r="X10">
        <f>I4*S10</f>
        <v>2564.136</v>
      </c>
    </row>
    <row r="11" spans="1:24" x14ac:dyDescent="0.35">
      <c r="A11" s="1" t="s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R11">
        <v>10</v>
      </c>
      <c r="S11">
        <f t="shared" si="0"/>
        <v>100</v>
      </c>
      <c r="T11">
        <f t="shared" si="1"/>
        <v>1000</v>
      </c>
      <c r="U11">
        <f t="shared" si="2"/>
        <v>10000</v>
      </c>
      <c r="W11">
        <f>J4*R11</f>
        <v>318.21999999999997</v>
      </c>
      <c r="X11">
        <f>J4*S11</f>
        <v>3182.2</v>
      </c>
    </row>
    <row r="12" spans="1:24" x14ac:dyDescent="0.35">
      <c r="C12">
        <f>C10/4</f>
        <v>28.107250000000001</v>
      </c>
      <c r="D12">
        <f>D10/4</f>
        <v>28.628</v>
      </c>
      <c r="E12">
        <f>E10/4</f>
        <v>29.079250000000002</v>
      </c>
      <c r="F12">
        <f>F10/4</f>
        <v>29.5425</v>
      </c>
      <c r="G12">
        <f>G10/4</f>
        <v>30.0365</v>
      </c>
      <c r="H12">
        <f>H10/4</f>
        <v>30.541499999999999</v>
      </c>
      <c r="I12">
        <f>I10/4</f>
        <v>31.027999999999999</v>
      </c>
      <c r="J12">
        <f>J10/4</f>
        <v>31.513249999999999</v>
      </c>
      <c r="K12">
        <f>K10/4</f>
        <v>32.036500000000004</v>
      </c>
      <c r="R12">
        <v>11</v>
      </c>
      <c r="S12">
        <f t="shared" si="0"/>
        <v>121</v>
      </c>
      <c r="T12">
        <f t="shared" si="1"/>
        <v>1331</v>
      </c>
      <c r="U12">
        <f t="shared" si="2"/>
        <v>14641</v>
      </c>
      <c r="W12">
        <f>K4*R12</f>
        <v>351.51600000000002</v>
      </c>
      <c r="X12">
        <f>K4*S12</f>
        <v>3866.6759999999999</v>
      </c>
    </row>
    <row r="13" spans="1:24" x14ac:dyDescent="0.35">
      <c r="A13" s="1" t="s">
        <v>8</v>
      </c>
      <c r="B13" s="1"/>
      <c r="C13" s="1"/>
      <c r="D13" s="1"/>
      <c r="E13" s="1"/>
      <c r="F13" s="1"/>
      <c r="G13" s="1"/>
      <c r="H13" s="1"/>
      <c r="I13" s="1"/>
      <c r="J13" s="1"/>
      <c r="K13" s="1"/>
      <c r="R13">
        <v>12</v>
      </c>
      <c r="S13">
        <f t="shared" si="0"/>
        <v>144</v>
      </c>
      <c r="T13">
        <f t="shared" si="1"/>
        <v>1728</v>
      </c>
      <c r="U13">
        <f t="shared" si="2"/>
        <v>20736</v>
      </c>
      <c r="W13">
        <f>L4*R13</f>
        <v>392.54400000000004</v>
      </c>
      <c r="X13">
        <f>L4*S13</f>
        <v>4710.5280000000002</v>
      </c>
    </row>
    <row r="14" spans="1:24" x14ac:dyDescent="0.35">
      <c r="C14">
        <f>(C12+D12)/2</f>
        <v>28.367625</v>
      </c>
      <c r="D14">
        <f>(D12+E12)/2</f>
        <v>28.853625000000001</v>
      </c>
      <c r="E14">
        <f>(E12+F12)/2</f>
        <v>29.310875000000003</v>
      </c>
      <c r="F14">
        <f>(F12+G12)/2</f>
        <v>29.7895</v>
      </c>
      <c r="G14">
        <f>(G12+H12)/2</f>
        <v>30.289000000000001</v>
      </c>
      <c r="H14">
        <f>(H12+I12)/2</f>
        <v>30.784749999999999</v>
      </c>
      <c r="I14">
        <f>(I12+J12)/2</f>
        <v>31.270624999999999</v>
      </c>
      <c r="J14">
        <f>(J12+K12)/2</f>
        <v>31.774875000000002</v>
      </c>
    </row>
    <row r="15" spans="1:24" x14ac:dyDescent="0.35">
      <c r="A15" s="1" t="s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R15">
        <f>SUM(R2:R13)</f>
        <v>78</v>
      </c>
      <c r="S15">
        <f>SUM(S2:S13)</f>
        <v>650</v>
      </c>
      <c r="T15">
        <f>SUM(T2:T13)</f>
        <v>6084</v>
      </c>
      <c r="U15">
        <f>SUM(U2:U13)</f>
        <v>60710</v>
      </c>
      <c r="V15">
        <f>SUM(A4:L4)</f>
        <v>360.721</v>
      </c>
      <c r="W15">
        <f>SUM(W2:W13)</f>
        <v>2412.4300000000003</v>
      </c>
      <c r="X15">
        <f>SUM(X2:X13)</f>
        <v>20421.910000000003</v>
      </c>
    </row>
    <row r="16" spans="1:24" x14ac:dyDescent="0.35">
      <c r="C16">
        <f>C4-C14</f>
        <v>-0.20562500000000128</v>
      </c>
      <c r="D16">
        <f>D4-D14</f>
        <v>-0.21062500000000028</v>
      </c>
      <c r="E16">
        <f>E4-E14</f>
        <v>0.32512499999999633</v>
      </c>
      <c r="F16">
        <f>F4-F14</f>
        <v>8.6500000000000909E-2</v>
      </c>
      <c r="G16">
        <f>G4-G14</f>
        <v>-0.27400000000000091</v>
      </c>
      <c r="H16">
        <f>H4-H14</f>
        <v>-0.16574999999999918</v>
      </c>
      <c r="I16">
        <f>I4-I14</f>
        <v>0.3853749999999998</v>
      </c>
      <c r="J16">
        <f>J4-J14</f>
        <v>4.7124999999997641E-2</v>
      </c>
      <c r="R16" t="s">
        <v>10</v>
      </c>
      <c r="S16" t="s">
        <v>11</v>
      </c>
      <c r="T16" t="s">
        <v>12</v>
      </c>
      <c r="U16" t="s">
        <v>13</v>
      </c>
      <c r="V16" t="s">
        <v>14</v>
      </c>
    </row>
    <row r="18" spans="1:20" x14ac:dyDescent="0.35">
      <c r="D18" t="s">
        <v>15</v>
      </c>
      <c r="E18" t="s">
        <v>16</v>
      </c>
      <c r="F18" t="s">
        <v>20</v>
      </c>
      <c r="G18" t="s">
        <v>30</v>
      </c>
      <c r="H18" t="s">
        <v>31</v>
      </c>
      <c r="R18" t="s">
        <v>17</v>
      </c>
      <c r="S18" t="s">
        <v>18</v>
      </c>
      <c r="T18" t="s">
        <v>19</v>
      </c>
    </row>
    <row r="19" spans="1:20" x14ac:dyDescent="0.35">
      <c r="A19">
        <v>4</v>
      </c>
      <c r="B19">
        <v>1</v>
      </c>
      <c r="D19">
        <f>A4</f>
        <v>27.553000000000001</v>
      </c>
      <c r="E19">
        <f>R19+S19*B19+T19*S2</f>
        <v>27.495999999999999</v>
      </c>
      <c r="F19">
        <f>O29</f>
        <v>0.35673437499999894</v>
      </c>
      <c r="G19">
        <f>E19+F19</f>
        <v>27.852734374999997</v>
      </c>
      <c r="H19">
        <f>D19-G19</f>
        <v>-0.29973437499999633</v>
      </c>
      <c r="R19">
        <v>27.03</v>
      </c>
      <c r="S19">
        <v>0.45</v>
      </c>
      <c r="T19">
        <v>1.6E-2</v>
      </c>
    </row>
    <row r="20" spans="1:20" x14ac:dyDescent="0.35">
      <c r="B20">
        <f>B19+1</f>
        <v>2</v>
      </c>
      <c r="D20">
        <f>B4</f>
        <v>28.071000000000002</v>
      </c>
      <c r="E20">
        <f>R19+S19*B20+T19*S3</f>
        <v>27.994</v>
      </c>
      <c r="F20">
        <f>P29</f>
        <v>6.8296875000000146E-2</v>
      </c>
      <c r="G20">
        <f t="shared" ref="G20:G30" si="3">E20+F20</f>
        <v>28.062296875000001</v>
      </c>
      <c r="H20">
        <f t="shared" ref="H20:H30" si="4">D20-G20</f>
        <v>8.7031250000002558E-3</v>
      </c>
    </row>
    <row r="21" spans="1:20" x14ac:dyDescent="0.35">
      <c r="B21">
        <f t="shared" ref="B21:B30" si="5">B20+1</f>
        <v>3</v>
      </c>
      <c r="D21">
        <f>C4</f>
        <v>28.161999999999999</v>
      </c>
      <c r="E21">
        <f>R19+S19*B21+T19*S4</f>
        <v>28.524000000000001</v>
      </c>
      <c r="F21">
        <f>Q29</f>
        <v>-0.23832812500000022</v>
      </c>
      <c r="G21">
        <f t="shared" si="3"/>
        <v>28.285671875000002</v>
      </c>
      <c r="H21">
        <f t="shared" si="4"/>
        <v>-0.12367187500000298</v>
      </c>
    </row>
    <row r="22" spans="1:20" x14ac:dyDescent="0.35">
      <c r="B22">
        <f t="shared" si="5"/>
        <v>4</v>
      </c>
      <c r="D22">
        <f>D4</f>
        <v>28.643000000000001</v>
      </c>
      <c r="E22">
        <f>R19+S19*B22+T19*S5</f>
        <v>29.086000000000002</v>
      </c>
      <c r="F22">
        <f>R29</f>
        <v>-0.18670312499999886</v>
      </c>
      <c r="G22">
        <f t="shared" si="3"/>
        <v>28.899296875000005</v>
      </c>
      <c r="H22">
        <f t="shared" si="4"/>
        <v>-0.25629687500000387</v>
      </c>
      <c r="N22" t="s">
        <v>21</v>
      </c>
      <c r="O22" t="s">
        <v>22</v>
      </c>
      <c r="P22" t="s">
        <v>23</v>
      </c>
      <c r="Q22" t="s">
        <v>23</v>
      </c>
      <c r="R22" t="s">
        <v>23</v>
      </c>
    </row>
    <row r="23" spans="1:20" x14ac:dyDescent="0.35">
      <c r="B23">
        <f t="shared" si="5"/>
        <v>5</v>
      </c>
      <c r="D23">
        <f>E4</f>
        <v>29.635999999999999</v>
      </c>
      <c r="E23">
        <f>R19+S19*B23+T19*S6</f>
        <v>29.68</v>
      </c>
      <c r="F23">
        <f>O29</f>
        <v>0.35673437499999894</v>
      </c>
      <c r="G23">
        <f t="shared" si="3"/>
        <v>30.036734374999998</v>
      </c>
      <c r="H23">
        <f t="shared" si="4"/>
        <v>-0.40073437499999898</v>
      </c>
      <c r="N23">
        <v>2020</v>
      </c>
      <c r="Q23">
        <f>C16</f>
        <v>-0.20562500000000128</v>
      </c>
      <c r="R23">
        <f>D16</f>
        <v>-0.21062500000000028</v>
      </c>
    </row>
    <row r="24" spans="1:20" x14ac:dyDescent="0.35">
      <c r="B24">
        <f t="shared" si="5"/>
        <v>6</v>
      </c>
      <c r="D24">
        <f>F4</f>
        <v>29.876000000000001</v>
      </c>
      <c r="E24">
        <f>R19+S19*B24+T19*S7</f>
        <v>30.306000000000001</v>
      </c>
      <c r="F24">
        <f>P29</f>
        <v>6.8296875000000146E-2</v>
      </c>
      <c r="G24">
        <f t="shared" si="3"/>
        <v>30.374296875000002</v>
      </c>
      <c r="H24">
        <f t="shared" si="4"/>
        <v>-0.49829687500000119</v>
      </c>
      <c r="N24">
        <v>2021</v>
      </c>
      <c r="O24">
        <f>E16</f>
        <v>0.32512499999999633</v>
      </c>
      <c r="P24">
        <f>F16</f>
        <v>8.6500000000000909E-2</v>
      </c>
      <c r="Q24">
        <f>G16</f>
        <v>-0.27400000000000091</v>
      </c>
      <c r="R24">
        <f>H16</f>
        <v>-0.16574999999999918</v>
      </c>
    </row>
    <row r="25" spans="1:20" x14ac:dyDescent="0.35">
      <c r="B25">
        <f t="shared" si="5"/>
        <v>7</v>
      </c>
      <c r="D25">
        <f>G4</f>
        <v>30.015000000000001</v>
      </c>
      <c r="E25">
        <f>R19+S19*B25+T19*S8</f>
        <v>30.963999999999999</v>
      </c>
      <c r="F25">
        <f>Q29</f>
        <v>-0.23832812500000022</v>
      </c>
      <c r="G25">
        <f t="shared" si="3"/>
        <v>30.725671875</v>
      </c>
      <c r="H25">
        <f t="shared" si="4"/>
        <v>-0.71067187499999918</v>
      </c>
      <c r="N25">
        <v>2022</v>
      </c>
      <c r="O25">
        <f>I16</f>
        <v>0.3853749999999998</v>
      </c>
      <c r="P25">
        <f>J16</f>
        <v>4.7124999999997641E-2</v>
      </c>
      <c r="T25" t="s">
        <v>28</v>
      </c>
    </row>
    <row r="26" spans="1:20" x14ac:dyDescent="0.35">
      <c r="B26">
        <f t="shared" si="5"/>
        <v>8</v>
      </c>
      <c r="D26">
        <f>H4</f>
        <v>30.619</v>
      </c>
      <c r="E26">
        <f>R19+S19*B26+T19*S9</f>
        <v>31.654000000000003</v>
      </c>
      <c r="F26">
        <f>R29</f>
        <v>-0.18670312499999886</v>
      </c>
      <c r="G26">
        <f t="shared" si="3"/>
        <v>31.467296875000006</v>
      </c>
      <c r="H26">
        <f t="shared" si="4"/>
        <v>-0.84829687500000617</v>
      </c>
      <c r="N26" t="s">
        <v>24</v>
      </c>
      <c r="O26">
        <f>O24+O25</f>
        <v>0.71049999999999613</v>
      </c>
      <c r="P26">
        <f>P24+P25</f>
        <v>0.13362499999999855</v>
      </c>
      <c r="Q26">
        <f>Q23+Q24</f>
        <v>-0.47962500000000219</v>
      </c>
      <c r="R26">
        <f>R23+R24</f>
        <v>-0.37637499999999946</v>
      </c>
      <c r="T26">
        <f>S28/4</f>
        <v>-1.4843750000008704E-3</v>
      </c>
    </row>
    <row r="27" spans="1:20" x14ac:dyDescent="0.35">
      <c r="B27">
        <f>B26+1</f>
        <v>9</v>
      </c>
      <c r="D27">
        <f>I4</f>
        <v>31.655999999999999</v>
      </c>
      <c r="E27">
        <f>R19+S19*B27+T19*S10</f>
        <v>32.376000000000005</v>
      </c>
      <c r="F27">
        <f>O29</f>
        <v>0.35673437499999894</v>
      </c>
      <c r="G27">
        <f t="shared" si="3"/>
        <v>32.732734375000007</v>
      </c>
      <c r="H27">
        <f t="shared" si="4"/>
        <v>-1.076734375000008</v>
      </c>
      <c r="N27" t="s">
        <v>25</v>
      </c>
      <c r="O27">
        <f>O26/2</f>
        <v>0.35524999999999807</v>
      </c>
      <c r="P27">
        <f>P26/2</f>
        <v>6.6812499999999275E-2</v>
      </c>
      <c r="Q27">
        <f>Q26/2</f>
        <v>-0.23981250000000109</v>
      </c>
      <c r="R27">
        <f>R26/2</f>
        <v>-0.18818749999999973</v>
      </c>
      <c r="T27">
        <f>-S28/4</f>
        <v>1.4843750000008704E-3</v>
      </c>
    </row>
    <row r="28" spans="1:20" x14ac:dyDescent="0.35">
      <c r="B28">
        <f t="shared" si="5"/>
        <v>10</v>
      </c>
      <c r="D28">
        <f>J4</f>
        <v>31.821999999999999</v>
      </c>
      <c r="E28">
        <f>R19+S19*B28+T19*S11</f>
        <v>33.130000000000003</v>
      </c>
      <c r="F28">
        <f>P29</f>
        <v>6.8296875000000146E-2</v>
      </c>
      <c r="G28">
        <f t="shared" si="3"/>
        <v>33.198296875000004</v>
      </c>
      <c r="H28">
        <f t="shared" si="4"/>
        <v>-1.3762968750000049</v>
      </c>
      <c r="N28" t="s">
        <v>26</v>
      </c>
      <c r="O28">
        <f>O27</f>
        <v>0.35524999999999807</v>
      </c>
      <c r="P28">
        <f>P27</f>
        <v>6.6812499999999275E-2</v>
      </c>
      <c r="Q28">
        <f>Q27</f>
        <v>-0.23981250000000109</v>
      </c>
      <c r="R28">
        <f>R27</f>
        <v>-0.18818749999999973</v>
      </c>
      <c r="S28">
        <f>SUM(O28:R28)</f>
        <v>-5.9375000000034817E-3</v>
      </c>
      <c r="T28" t="s">
        <v>27</v>
      </c>
    </row>
    <row r="29" spans="1:20" x14ac:dyDescent="0.35">
      <c r="B29">
        <f t="shared" si="5"/>
        <v>11</v>
      </c>
      <c r="D29">
        <f>K4</f>
        <v>31.956</v>
      </c>
      <c r="E29">
        <f>R19+S19*B29+T19*S12</f>
        <v>33.915999999999997</v>
      </c>
      <c r="F29">
        <f>Q29</f>
        <v>-0.23832812500000022</v>
      </c>
      <c r="G29">
        <f t="shared" si="3"/>
        <v>33.677671874999994</v>
      </c>
      <c r="H29">
        <f t="shared" si="4"/>
        <v>-1.7216718749999949</v>
      </c>
      <c r="N29" t="s">
        <v>29</v>
      </c>
      <c r="O29">
        <f>O28+T27</f>
        <v>0.35673437499999894</v>
      </c>
      <c r="P29">
        <f>P28+T27</f>
        <v>6.8296875000000146E-2</v>
      </c>
      <c r="Q29">
        <f>Q28+T27</f>
        <v>-0.23832812500000022</v>
      </c>
      <c r="R29">
        <f>R28+T27</f>
        <v>-0.18670312499999886</v>
      </c>
      <c r="S29">
        <f>SUM(O29:R29)</f>
        <v>0</v>
      </c>
    </row>
    <row r="30" spans="1:20" x14ac:dyDescent="0.35">
      <c r="B30">
        <f t="shared" si="5"/>
        <v>12</v>
      </c>
      <c r="D30">
        <f>L4</f>
        <v>32.712000000000003</v>
      </c>
      <c r="E30">
        <f>R19+S19*B30+T19*S13</f>
        <v>34.734000000000002</v>
      </c>
      <c r="F30">
        <f>R29</f>
        <v>-0.18670312499999886</v>
      </c>
      <c r="G30">
        <f t="shared" si="3"/>
        <v>34.547296875000001</v>
      </c>
      <c r="H30">
        <f t="shared" si="4"/>
        <v>-1.8352968749999974</v>
      </c>
    </row>
    <row r="32" spans="1:20" x14ac:dyDescent="0.35">
      <c r="B32" t="s">
        <v>32</v>
      </c>
      <c r="C32" t="s">
        <v>33</v>
      </c>
      <c r="L32" t="s">
        <v>10</v>
      </c>
      <c r="M32" t="s">
        <v>37</v>
      </c>
      <c r="N32" t="s">
        <v>38</v>
      </c>
      <c r="O32" t="s">
        <v>16</v>
      </c>
      <c r="P32" t="s">
        <v>20</v>
      </c>
      <c r="Q32" t="s">
        <v>39</v>
      </c>
    </row>
    <row r="33" spans="1:17" x14ac:dyDescent="0.35">
      <c r="A33">
        <v>5</v>
      </c>
      <c r="B33">
        <f>H19*H19</f>
        <v>8.9840695556638428E-2</v>
      </c>
      <c r="C33">
        <f>ABS(H19)</f>
        <v>0.29973437499999633</v>
      </c>
      <c r="I33">
        <v>6</v>
      </c>
      <c r="J33">
        <v>1</v>
      </c>
      <c r="K33">
        <v>2023</v>
      </c>
      <c r="L33">
        <v>13</v>
      </c>
      <c r="M33">
        <v>1</v>
      </c>
      <c r="N33">
        <f>L33*L33</f>
        <v>169</v>
      </c>
      <c r="O33">
        <f>R19+S19*L33+T19*N33</f>
        <v>35.584000000000003</v>
      </c>
      <c r="P33">
        <f>F19</f>
        <v>0.35673437499999894</v>
      </c>
      <c r="Q33">
        <f>O33+P33</f>
        <v>35.940734375000005</v>
      </c>
    </row>
    <row r="34" spans="1:17" x14ac:dyDescent="0.35">
      <c r="B34">
        <f>H20*H20</f>
        <v>7.5744384765629458E-5</v>
      </c>
      <c r="C34">
        <f t="shared" ref="C34:C44" si="6">ABS(H20)</f>
        <v>8.7031250000002558E-3</v>
      </c>
      <c r="E34" t="s">
        <v>34</v>
      </c>
      <c r="F34" t="s">
        <v>35</v>
      </c>
      <c r="J34">
        <v>2</v>
      </c>
      <c r="K34">
        <v>2023</v>
      </c>
      <c r="L34">
        <v>14</v>
      </c>
      <c r="M34">
        <v>2</v>
      </c>
      <c r="N34">
        <f t="shared" ref="N34:N40" si="7">L34*L34</f>
        <v>196</v>
      </c>
      <c r="O34">
        <f>R19+L34*S19+T19*N34</f>
        <v>36.466000000000001</v>
      </c>
      <c r="P34">
        <f>F20</f>
        <v>6.8296875000000146E-2</v>
      </c>
      <c r="Q34">
        <f t="shared" ref="Q34:Q40" si="8">O34+P34</f>
        <v>36.534296875000003</v>
      </c>
    </row>
    <row r="35" spans="1:17" x14ac:dyDescent="0.35">
      <c r="B35">
        <f t="shared" ref="B35:B45" si="9">H21*H21</f>
        <v>1.5294732666016364E-2</v>
      </c>
      <c r="C35">
        <f t="shared" si="6"/>
        <v>0.12367187500000298</v>
      </c>
      <c r="E35">
        <f>B44/12</f>
        <v>0.28069288494872968</v>
      </c>
      <c r="F35">
        <f>C44/12</f>
        <v>0.15294140624999977</v>
      </c>
      <c r="J35">
        <v>3</v>
      </c>
      <c r="K35">
        <v>2023</v>
      </c>
      <c r="L35">
        <v>15</v>
      </c>
      <c r="M35">
        <v>3</v>
      </c>
      <c r="N35">
        <f t="shared" si="7"/>
        <v>225</v>
      </c>
      <c r="O35">
        <f>R19+S19*L35+T19*N35</f>
        <v>37.380000000000003</v>
      </c>
      <c r="P35">
        <f>F21</f>
        <v>-0.23832812500000022</v>
      </c>
      <c r="Q35">
        <f t="shared" si="8"/>
        <v>37.141671875</v>
      </c>
    </row>
    <row r="36" spans="1:17" x14ac:dyDescent="0.35">
      <c r="B36">
        <f t="shared" si="9"/>
        <v>6.5688088134767605E-2</v>
      </c>
      <c r="C36">
        <f t="shared" si="6"/>
        <v>0.25629687500000387</v>
      </c>
      <c r="E36" t="s">
        <v>36</v>
      </c>
      <c r="J36">
        <v>4</v>
      </c>
      <c r="K36">
        <v>2023</v>
      </c>
      <c r="L36">
        <v>16</v>
      </c>
      <c r="M36">
        <v>4</v>
      </c>
      <c r="N36">
        <f t="shared" si="7"/>
        <v>256</v>
      </c>
      <c r="O36">
        <f>R19+S19*L36+T19*N36</f>
        <v>38.326000000000008</v>
      </c>
      <c r="P36">
        <f>F22</f>
        <v>-0.18670312499999886</v>
      </c>
      <c r="Q36">
        <f t="shared" si="8"/>
        <v>38.139296875000007</v>
      </c>
    </row>
    <row r="37" spans="1:17" x14ac:dyDescent="0.35">
      <c r="B37">
        <f t="shared" si="9"/>
        <v>0.16058803930663981</v>
      </c>
      <c r="C37">
        <f t="shared" si="6"/>
        <v>0.40073437499999898</v>
      </c>
      <c r="E37">
        <f>SQRT(E35)</f>
        <v>0.52980457241206369</v>
      </c>
      <c r="J37">
        <v>5</v>
      </c>
      <c r="K37">
        <v>2024</v>
      </c>
      <c r="L37">
        <v>17</v>
      </c>
      <c r="M37">
        <v>1</v>
      </c>
      <c r="N37">
        <f t="shared" si="7"/>
        <v>289</v>
      </c>
      <c r="O37">
        <f>R19+S19*L37+T19*N37</f>
        <v>39.304000000000002</v>
      </c>
      <c r="P37">
        <f>F23</f>
        <v>0.35673437499999894</v>
      </c>
      <c r="Q37">
        <f t="shared" si="8"/>
        <v>39.660734375000004</v>
      </c>
    </row>
    <row r="38" spans="1:17" x14ac:dyDescent="0.35">
      <c r="B38">
        <f t="shared" si="9"/>
        <v>0.24829977563476682</v>
      </c>
      <c r="C38">
        <f t="shared" si="6"/>
        <v>0.49829687500000119</v>
      </c>
      <c r="J38">
        <v>6</v>
      </c>
      <c r="K38">
        <v>2024</v>
      </c>
      <c r="L38">
        <v>18</v>
      </c>
      <c r="M38">
        <v>2</v>
      </c>
      <c r="N38">
        <f t="shared" si="7"/>
        <v>324</v>
      </c>
      <c r="O38">
        <f>R19+S19*L38+T19*N38</f>
        <v>40.314</v>
      </c>
      <c r="P38">
        <f>F24</f>
        <v>6.8296875000000146E-2</v>
      </c>
      <c r="Q38">
        <f t="shared" si="8"/>
        <v>40.382296875000002</v>
      </c>
    </row>
    <row r="39" spans="1:17" x14ac:dyDescent="0.35">
      <c r="B39">
        <f t="shared" si="9"/>
        <v>0.50505451391601441</v>
      </c>
      <c r="C39">
        <f t="shared" si="6"/>
        <v>0.71067187499999918</v>
      </c>
      <c r="J39">
        <v>7</v>
      </c>
      <c r="K39">
        <v>2024</v>
      </c>
      <c r="L39">
        <v>19</v>
      </c>
      <c r="M39">
        <v>3</v>
      </c>
      <c r="N39">
        <f t="shared" si="7"/>
        <v>361</v>
      </c>
      <c r="O39">
        <f>R19+S19*L39+T19*N39</f>
        <v>41.355999999999995</v>
      </c>
      <c r="P39">
        <f>F25</f>
        <v>-0.23832812500000022</v>
      </c>
      <c r="Q39">
        <f t="shared" si="8"/>
        <v>41.117671874999992</v>
      </c>
    </row>
    <row r="40" spans="1:17" x14ac:dyDescent="0.35">
      <c r="B40">
        <f t="shared" si="9"/>
        <v>0.7196075881347761</v>
      </c>
      <c r="C40">
        <f t="shared" si="6"/>
        <v>0.84829687500000617</v>
      </c>
      <c r="J40">
        <v>8</v>
      </c>
      <c r="K40">
        <v>2024</v>
      </c>
      <c r="L40">
        <v>20</v>
      </c>
      <c r="M40">
        <v>4</v>
      </c>
      <c r="N40">
        <f t="shared" si="7"/>
        <v>400</v>
      </c>
      <c r="O40">
        <f>R19+S19*L40+T19*N40</f>
        <v>42.43</v>
      </c>
      <c r="P40">
        <f>F26</f>
        <v>-0.18670312499999886</v>
      </c>
      <c r="Q40">
        <f t="shared" si="8"/>
        <v>42.243296874999999</v>
      </c>
    </row>
    <row r="41" spans="1:17" x14ac:dyDescent="0.35">
      <c r="B41">
        <f t="shared" si="9"/>
        <v>1.159356914306658</v>
      </c>
      <c r="C41">
        <f t="shared" si="6"/>
        <v>1.076734375000008</v>
      </c>
    </row>
    <row r="42" spans="1:17" x14ac:dyDescent="0.35">
      <c r="B42">
        <f t="shared" si="9"/>
        <v>1.894193088134779</v>
      </c>
      <c r="C42">
        <f t="shared" si="6"/>
        <v>1.3762968750000049</v>
      </c>
    </row>
    <row r="43" spans="1:17" x14ac:dyDescent="0.35">
      <c r="B43">
        <f t="shared" si="9"/>
        <v>2.9641540451659978</v>
      </c>
      <c r="C43">
        <f t="shared" si="6"/>
        <v>1.7216718749999949</v>
      </c>
    </row>
    <row r="44" spans="1:17" x14ac:dyDescent="0.35">
      <c r="B44">
        <f t="shared" si="9"/>
        <v>3.3683146193847562</v>
      </c>
      <c r="C44">
        <f t="shared" si="6"/>
        <v>1.8352968749999974</v>
      </c>
    </row>
  </sheetData>
  <mergeCells count="16">
    <mergeCell ref="A9:L9"/>
    <mergeCell ref="A11:L11"/>
    <mergeCell ref="A13:K13"/>
    <mergeCell ref="A15:K15"/>
    <mergeCell ref="A5:D5"/>
    <mergeCell ref="E5:H5"/>
    <mergeCell ref="I5:L5"/>
    <mergeCell ref="A7:D7"/>
    <mergeCell ref="E7:H7"/>
    <mergeCell ref="I7:L7"/>
    <mergeCell ref="A1:D1"/>
    <mergeCell ref="A3:D3"/>
    <mergeCell ref="E1:H1"/>
    <mergeCell ref="E3:H3"/>
    <mergeCell ref="I1:L1"/>
    <mergeCell ref="I3:L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Василий Архипов</dc:creator>
  <cp:lastModifiedBy>Василий Архипов</cp:lastModifiedBy>
  <dcterms:created xsi:type="dcterms:W3CDTF">2025-11-14T11:58:53Z</dcterms:created>
  <dcterms:modified xsi:type="dcterms:W3CDTF">2025-11-14T16:15:59Z</dcterms:modified>
</cp:coreProperties>
</file>